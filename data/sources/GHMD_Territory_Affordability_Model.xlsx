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ssumptions" sheetId="2" state="visible" r:id="rId4"/>
    <sheet name="State Screening" sheetId="3" state="visible" r:id="rId5"/>
    <sheet name="Territory Calculator" sheetId="4" state="visible" r:id="rId6"/>
    <sheet name="Lender Tier Scenario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<sst xmlns="http://schemas.openxmlformats.org/spreadsheetml/2006/main" count="246" uniqueCount="246">
  <si>
    <t xml:space="preserve">GHMD Territory Affordability Model — Public-Source Methodology</t>
  </si>
  <si>
    <t xml:space="preserve">PURPOSE: Screen geographies for financed-purchase affordability of a high-ticket package, using only publicly available, citable data.</t>
  </si>
  <si>
    <t xml:space="preserve">DATA SOURCES (all public):</t>
  </si>
  <si>
    <t xml:space="preserve">1. Consumer APR range 0%-24.99%, 3-60 months, $300-$25,000: U.S. Bank Avvance public FAQ — avvance.usbank.com/index.html (accessed Jul 2026)</t>
  </si>
  <si>
    <t xml:space="preserve">2. Average FICO Score by state (Sept 2025): Experian, 'What Is the Average Credit Score in the US?' (pub. Mar 30, 2026) — experian.com/blogs/ask-experian/what-is-the-average-credit-score-in-the-u-s/</t>
  </si>
  <si>
    <t xml:space="preserve">3. National FICO distribution by range (2025): same Experian report — Poor(300-579) 14.7%, Fair(580-669) 14.9%, Good(670-739) 20.1%, Very Good(740-799) 27.5%, Exceptional(800-850) 22.8%</t>
  </si>
  <si>
    <t xml:space="preserve">4. Median household income by state (2024): U.S. Census Bureau via FRED release table 'Real Median Household Income by State' — fred.stlouisfed.org/release/tables?eid=259515&amp;rid=249</t>
  </si>
  <si>
    <t xml:space="preserve">5. Local income distribution (Territory Calculator tab): U.S. Census ACS table B19001, data.census.gov — pull for any county/CBSA/zip</t>
  </si>
  <si>
    <t xml:space="preserve">6. Subprime APR benchmarks: NerdWallet avg ~26.65% for &lt;630 scores (Jun 2026); Bankrate personal loan rates 8%-36%</t>
  </si>
  <si>
    <t xml:space="preserve">7. Promotional (0% APR) merchant fee benchmarks: publicly documented dealer fees ~8-25% (GreenSky 0-26.6%, Service Finance 1.25-24%, Synchrony 4.5-9%, EnerBank ~6% for 12-18mo same-as-cash)</t>
  </si>
  <si>
    <t xml:space="preserve">HOW TO USE:</t>
  </si>
  <si>
    <t xml:space="preserve">- Assumptions tab: set package price, APR, term, payment-to-income threshold, FICO cutoff. Blue cells are inputs.</t>
  </si>
  <si>
    <t xml:space="preserve">- State Screening tab: relative ranking of all 50 states + DC for territory sizing.</t>
  </si>
  <si>
    <t xml:space="preserve">- Territory Calculator tab: paste Census B19001 income-bracket data for any specific geography to size a protected territory.</t>
  </si>
  <si>
    <t xml:space="preserve">KEY CAVEAT — 0% PROMO ECONOMICS: A 0% promo maximizes the count of households that can afford the monthly payment, but the merchant absorbs the promo fee (publicly documented at ~8-25% of ticket). If territory sizing assumes 0% financing, franchise unit economics must be modeled net of that fee. This model shows both sides (Assumptions tab, promo section).</t>
  </si>
  <si>
    <t xml:space="preserve">DISCLAIMERS: Prepared from public sources for market-screening purposes only. Not legal, financial, or franchise-disclosure advice. Credit approval, APRs, and loan terms are determined solely by lenders based on individual applications. Aggregate statistics do not predict individual approval outcomes. Methodology uses income and credit statistics only — no demographic attributes.</t>
  </si>
  <si>
    <t xml:space="preserve">IMPORTANT — FRANCHISE-LAW USAGE BOUNDARY (added after legal review):</t>
  </si>
  <si>
    <t xml:space="preserve">This is an INTERNAL territory-design tool (FDD Item 12 support). If any output is shown to a prospective franchisee in a way that states or implies potential sales, income, or profits (e.g., customers per location x package price), it becomes a Financial Performance Representation under 16 CFR Part 436 and must go through Item 19. Under NASAA's FPR Commentary (May 8, 2017), Q19.19-19.20, projections must be based on the brand's own historical outlet data — NOT on industry reports or third-party statistics, regardless of source quality. Government/bureau data here supports territory design and market context; it cannot substantiate an earnings projection. Sources: nasaa.org/wp-content/uploads/2017/05/Financial-Performance-Representation-Commentary.pdf ; ecfr.gov/current/title-16/chapter-I/subchapter-D/part-436</t>
  </si>
  <si>
    <t xml:space="preserve">ADDITIONAL SOURCES (v2):</t>
  </si>
  <si>
    <t xml:space="preserve">8. NASAA FPR Commentary (adopted May 8, 2017) — projections/substantiation rules</t>
  </si>
  <si>
    <t xml:space="preserve">9. FTC Franchise Rule Compliance Guide (May 2008) — ftc.gov/system/files/documents/plain-language/bus70-franchise-rule-compliance-guide.pdf</t>
  </si>
  <si>
    <t xml:space="preserve">10. GreenSky Form 10-K FY2019 (SEC EDGAR) — merchants pay upfront transaction fees; 'the transaction fee rate depends on the terms of financing underlying the consumer loans' — sec.gov/Archives/edgar/data/0001712923/000171292320000010/gsky-20191231.htm</t>
  </si>
  <si>
    <t xml:space="preserve">Model Assumptions</t>
  </si>
  <si>
    <t xml:space="preserve">Standard financing scenario</t>
  </si>
  <si>
    <t xml:space="preserve">Package price ($)</t>
  </si>
  <si>
    <t xml:space="preserve">GHMD highest package</t>
  </si>
  <si>
    <t xml:space="preserve">APR — conservative (max of public range)</t>
  </si>
  <si>
    <t xml:space="preserve">Source: U.S. Bank Avvance public FAQ, avvance.usbank.com, accessed Jul 2026 (range 0%-24.99%)</t>
  </si>
  <si>
    <t xml:space="preserve">Term (months)</t>
  </si>
  <si>
    <t xml:space="preserve">Public Avvance range: 3-60 months</t>
  </si>
  <si>
    <t xml:space="preserve">Payment-to-income (PTI) threshold</t>
  </si>
  <si>
    <t xml:space="preserve">Modeling assumption: 8% of gross monthly HH income for a discretionary installment payment; consistent with keeping total obligations within the widely used 36% back-end DTI convention</t>
  </si>
  <si>
    <t xml:space="preserve">Minimum FICO cutoff (credit screen)</t>
  </si>
  <si>
    <t xml:space="preserve">670 = bottom of "Good" range (Experian/FICO ranges)</t>
  </si>
  <si>
    <t xml:space="preserve">Promotional (0% APR) scenario</t>
  </si>
  <si>
    <t xml:space="preserve">Promo term (months)</t>
  </si>
  <si>
    <t xml:space="preserve">Longest common 0% plan cited (12/24/36)</t>
  </si>
  <si>
    <t xml:space="preserve">Merchant promo fee (% of ticket)</t>
  </si>
  <si>
    <t xml:space="preserve">Input estimate; public benchmarks ~8-25% for promo/same-as-cash plans</t>
  </si>
  <si>
    <t xml:space="preserve">Calculated</t>
  </si>
  <si>
    <t xml:space="preserve">Monthly payment — standard APR</t>
  </si>
  <si>
    <t xml:space="preserve">Required annual HH income — standard</t>
  </si>
  <si>
    <t xml:space="preserve">Monthly payment — 0% promo</t>
  </si>
  <si>
    <t xml:space="preserve">Required annual HH income — promo</t>
  </si>
  <si>
    <t xml:space="preserve">Franchisee net receipt under promo</t>
  </si>
  <si>
    <t xml:space="preserve">Franchisee margin give-up per promo sale</t>
  </si>
  <si>
    <t xml:space="preserve">National FICO distribution (Experian, Sept 2025)</t>
  </si>
  <si>
    <t xml:space="preserve">Range</t>
  </si>
  <si>
    <t xml:space="preserve">Share</t>
  </si>
  <si>
    <t xml:space="preserve">Poor (300-579)</t>
  </si>
  <si>
    <t xml:space="preserve">Fair (580-669)</t>
  </si>
  <si>
    <t xml:space="preserve">Good (670-739)</t>
  </si>
  <si>
    <t xml:space="preserve">Very Good (740-799)</t>
  </si>
  <si>
    <t xml:space="preserve">Exceptional (800-850)</t>
  </si>
  <si>
    <t xml:space="preserve">Share at/above 670 (credit-eligible, national)</t>
  </si>
  <si>
    <t xml:space="preserve">Used as default credit screen in Territory Calculator; adjust locally using avg-FICO differential</t>
  </si>
  <si>
    <t xml:space="preserve">Sensitivity — required annual HH income (standard scenario)</t>
  </si>
  <si>
    <t xml:space="preserve">PTI threshold</t>
  </si>
  <si>
    <t xml:space="preserve">Required income</t>
  </si>
  <si>
    <t xml:space="preserve">PTI is a stated modeling convention (see methodology memo, Limitations). Run all three; disclose which one is used.</t>
  </si>
  <si>
    <t xml:space="preserve">State</t>
  </si>
  <si>
    <t xml:space="preserve">Abbr</t>
  </si>
  <si>
    <t xml:space="preserve">Avg FICO (Sept 2025)</t>
  </si>
  <si>
    <t xml:space="preserve">Median HH Income (2024, $)</t>
  </si>
  <si>
    <t xml:space="preserve">Income Affordability Multiple</t>
  </si>
  <si>
    <t xml:space="preserve">FICO vs National Avg (713)</t>
  </si>
  <si>
    <t xml:space="preserve">Income Percentile</t>
  </si>
  <si>
    <t xml:space="preserve">Credit Percentile</t>
  </si>
  <si>
    <t xml:space="preserve">Composite Territory Score (0-100)</t>
  </si>
  <si>
    <t xml:space="preserve">Est. Share FICO ≥670 (derived)</t>
  </si>
  <si>
    <t xml:space="preserve">Alabama</t>
  </si>
  <si>
    <t xml:space="preserve">AL</t>
  </si>
  <si>
    <t xml:space="preserve">Alaska</t>
  </si>
  <si>
    <t xml:space="preserve">AK</t>
  </si>
  <si>
    <t xml:space="preserve">Arizona</t>
  </si>
  <si>
    <t xml:space="preserve">AZ</t>
  </si>
  <si>
    <t xml:space="preserve">Arkansas</t>
  </si>
  <si>
    <t xml:space="preserve">AR</t>
  </si>
  <si>
    <t xml:space="preserve">California</t>
  </si>
  <si>
    <t xml:space="preserve">CA</t>
  </si>
  <si>
    <t xml:space="preserve">Colorado</t>
  </si>
  <si>
    <t xml:space="preserve">CO</t>
  </si>
  <si>
    <t xml:space="preserve">Connecticut</t>
  </si>
  <si>
    <t xml:space="preserve">CT</t>
  </si>
  <si>
    <t xml:space="preserve">Delaware</t>
  </si>
  <si>
    <t xml:space="preserve">DE</t>
  </si>
  <si>
    <t xml:space="preserve">District of Columbia</t>
  </si>
  <si>
    <t xml:space="preserve">DC</t>
  </si>
  <si>
    <t xml:space="preserve">Florida</t>
  </si>
  <si>
    <t xml:space="preserve">FL</t>
  </si>
  <si>
    <t xml:space="preserve">Georgia</t>
  </si>
  <si>
    <t xml:space="preserve">GA</t>
  </si>
  <si>
    <t xml:space="preserve">Hawaii</t>
  </si>
  <si>
    <t xml:space="preserve">HI</t>
  </si>
  <si>
    <t xml:space="preserve">Idaho</t>
  </si>
  <si>
    <t xml:space="preserve">ID</t>
  </si>
  <si>
    <t xml:space="preserve">Illinois</t>
  </si>
  <si>
    <t xml:space="preserve">IL</t>
  </si>
  <si>
    <t xml:space="preserve">Indiana</t>
  </si>
  <si>
    <t xml:space="preserve">IN</t>
  </si>
  <si>
    <t xml:space="preserve">Iowa</t>
  </si>
  <si>
    <t xml:space="preserve">IA</t>
  </si>
  <si>
    <t xml:space="preserve">Kansas</t>
  </si>
  <si>
    <t xml:space="preserve">KS</t>
  </si>
  <si>
    <t xml:space="preserve">Kentucky</t>
  </si>
  <si>
    <t xml:space="preserve">KY</t>
  </si>
  <si>
    <t xml:space="preserve">Louisiana</t>
  </si>
  <si>
    <t xml:space="preserve">LA</t>
  </si>
  <si>
    <t xml:space="preserve">Maine</t>
  </si>
  <si>
    <t xml:space="preserve">ME</t>
  </si>
  <si>
    <t xml:space="preserve">Maryland</t>
  </si>
  <si>
    <t xml:space="preserve">MD</t>
  </si>
  <si>
    <t xml:space="preserve">Massachusetts</t>
  </si>
  <si>
    <t xml:space="preserve">MA</t>
  </si>
  <si>
    <t xml:space="preserve">Michigan</t>
  </si>
  <si>
    <t xml:space="preserve">MI</t>
  </si>
  <si>
    <t xml:space="preserve">Minnesota</t>
  </si>
  <si>
    <t xml:space="preserve">MN</t>
  </si>
  <si>
    <t xml:space="preserve">Mississippi</t>
  </si>
  <si>
    <t xml:space="preserve">MS</t>
  </si>
  <si>
    <t xml:space="preserve">Missouri</t>
  </si>
  <si>
    <t xml:space="preserve">MO</t>
  </si>
  <si>
    <t xml:space="preserve">Montana</t>
  </si>
  <si>
    <t xml:space="preserve">MT</t>
  </si>
  <si>
    <t xml:space="preserve">Nebraska</t>
  </si>
  <si>
    <t xml:space="preserve">NE</t>
  </si>
  <si>
    <t xml:space="preserve">Nevada</t>
  </si>
  <si>
    <t xml:space="preserve">NV</t>
  </si>
  <si>
    <t xml:space="preserve">New Hampshire</t>
  </si>
  <si>
    <t xml:space="preserve">NH</t>
  </si>
  <si>
    <t xml:space="preserve">New Jersey</t>
  </si>
  <si>
    <t xml:space="preserve">NJ</t>
  </si>
  <si>
    <t xml:space="preserve">New Mexico</t>
  </si>
  <si>
    <t xml:space="preserve">NM</t>
  </si>
  <si>
    <t xml:space="preserve">New York</t>
  </si>
  <si>
    <t xml:space="preserve">NY</t>
  </si>
  <si>
    <t xml:space="preserve">North Carolina</t>
  </si>
  <si>
    <t xml:space="preserve">NC</t>
  </si>
  <si>
    <t xml:space="preserve">North Dakota</t>
  </si>
  <si>
    <t xml:space="preserve">ND</t>
  </si>
  <si>
    <t xml:space="preserve">Ohio</t>
  </si>
  <si>
    <t xml:space="preserve">OH</t>
  </si>
  <si>
    <t xml:space="preserve">Oklahoma</t>
  </si>
  <si>
    <t xml:space="preserve">OK</t>
  </si>
  <si>
    <t xml:space="preserve">Oregon</t>
  </si>
  <si>
    <t xml:space="preserve">OR</t>
  </si>
  <si>
    <t xml:space="preserve">Pennsylvania</t>
  </si>
  <si>
    <t xml:space="preserve">PA</t>
  </si>
  <si>
    <t xml:space="preserve">Rhode Island</t>
  </si>
  <si>
    <t xml:space="preserve">RI</t>
  </si>
  <si>
    <t xml:space="preserve">South Carolina</t>
  </si>
  <si>
    <t xml:space="preserve">SC</t>
  </si>
  <si>
    <t xml:space="preserve">South Dakota</t>
  </si>
  <si>
    <t xml:space="preserve">SD</t>
  </si>
  <si>
    <t xml:space="preserve">Tennessee</t>
  </si>
  <si>
    <t xml:space="preserve">TN</t>
  </si>
  <si>
    <t xml:space="preserve">Texas</t>
  </si>
  <si>
    <t xml:space="preserve">TX</t>
  </si>
  <si>
    <t xml:space="preserve">Utah</t>
  </si>
  <si>
    <t xml:space="preserve">UT</t>
  </si>
  <si>
    <t xml:space="preserve">Vermont</t>
  </si>
  <si>
    <t xml:space="preserve">VT</t>
  </si>
  <si>
    <t xml:space="preserve">Virginia</t>
  </si>
  <si>
    <t xml:space="preserve">VA</t>
  </si>
  <si>
    <t xml:space="preserve">Washington</t>
  </si>
  <si>
    <t xml:space="preserve">WA</t>
  </si>
  <si>
    <t xml:space="preserve">West Virginia</t>
  </si>
  <si>
    <t xml:space="preserve">WV</t>
  </si>
  <si>
    <t xml:space="preserve">Wisconsin</t>
  </si>
  <si>
    <t xml:space="preserve">WI</t>
  </si>
  <si>
    <t xml:space="preserve">Wyoming</t>
  </si>
  <si>
    <t xml:space="preserve">WY</t>
  </si>
  <si>
    <t xml:space="preserve">Sources: Avg FICO — Experian (Sept 2025 data, pub. Mar 2026). Median HH income — U.S. Census Bureau via FRED (2024). Income Affordability Multiple = median income ÷ required income from Assumptions. Composite = average of income &amp; credit percentile ranks × 100. Screening/ranking tool only — size specific territories on the Territory Calculator tab.</t>
  </si>
  <si>
    <t xml:space="preserve">Column J derivation (labeled ESTIMATE): national FICO band distribution (Experian, Sept 2025) shifted by each state’s average-score differential vs the 713 national average, interpolated uniformly within bands. Two verified public inputs, one transparent approximation — reproducible from columns C + the Assumptions band table. Sanity check: a state at exactly 713 returns 70.4%, the national share ≥670. Use this instead of the flat national 70.4% in the Territory Calculator for state-sensitive sizing.</t>
  </si>
  <si>
    <t xml:space="preserve">Territory Calculator — size a specific protected territory</t>
  </si>
  <si>
    <t xml:space="preserve">Enter local data from data.census.gov (ACS table B19001) for the candidate geography (county / CBSA / zip set).</t>
  </si>
  <si>
    <t xml:space="preserve">Step 1 — Local inputs</t>
  </si>
  <si>
    <t xml:space="preserve">Geography name</t>
  </si>
  <si>
    <t xml:space="preserve">Example County</t>
  </si>
  <si>
    <t xml:space="preserve">Total households (ACS B19001 line 1)</t>
  </si>
  <si>
    <t xml:space="preserve">From data.census.gov</t>
  </si>
  <si>
    <t xml:space="preserve">Credit-eligible share (default: national ≥670)</t>
  </si>
  <si>
    <t xml:space="preserve">Defaults to Assumptions!B29; override with local estimate if avg state FICO differs materially</t>
  </si>
  <si>
    <t xml:space="preserve">Expected market penetration of addressable HH</t>
  </si>
  <si>
    <t xml:space="preserve">Franchisor assumption — document basis</t>
  </si>
  <si>
    <t xml:space="preserve">Annual customers needed per location (breakeven+)</t>
  </si>
  <si>
    <t xml:space="preserve">From GHMD unit economics</t>
  </si>
  <si>
    <t xml:space="preserve">Step 2 — Paste ACS B19001 household counts by income bracket</t>
  </si>
  <si>
    <t xml:space="preserve">Bracket</t>
  </si>
  <si>
    <t xml:space="preserve">Households (paste)</t>
  </si>
  <si>
    <t xml:space="preserve">Lower</t>
  </si>
  <si>
    <t xml:space="preserve">Upper</t>
  </si>
  <si>
    <t xml:space="preserve">Households above required income (calc)</t>
  </si>
  <si>
    <t xml:space="preserve">&lt; $10,000</t>
  </si>
  <si>
    <t xml:space="preserve">$10,000-14,999</t>
  </si>
  <si>
    <t xml:space="preserve">$15,000-19,999</t>
  </si>
  <si>
    <t xml:space="preserve">$20,000-24,999</t>
  </si>
  <si>
    <t xml:space="preserve">$25,000-29,999</t>
  </si>
  <si>
    <t xml:space="preserve">$30,000-34,999</t>
  </si>
  <si>
    <t xml:space="preserve">$35,000-39,999</t>
  </si>
  <si>
    <t xml:space="preserve">$40,000-44,999</t>
  </si>
  <si>
    <t xml:space="preserve">$45,000-49,999</t>
  </si>
  <si>
    <t xml:space="preserve">$50,000-59,999</t>
  </si>
  <si>
    <t xml:space="preserve">$60,000-74,999</t>
  </si>
  <si>
    <t xml:space="preserve">$75,000-99,999</t>
  </si>
  <si>
    <t xml:space="preserve">$100,000-124,999</t>
  </si>
  <si>
    <t xml:space="preserve">$125,000-149,999</t>
  </si>
  <si>
    <t xml:space="preserve">$150,000-199,999</t>
  </si>
  <si>
    <t xml:space="preserve">$200,000+</t>
  </si>
  <si>
    <t xml:space="preserve">Step 3 — Results</t>
  </si>
  <si>
    <t xml:space="preserve">Required annual HH income (from Assumptions)</t>
  </si>
  <si>
    <t xml:space="preserve">Total households pasted</t>
  </si>
  <si>
    <t xml:space="preserve">Should reconcile to B6</t>
  </si>
  <si>
    <t xml:space="preserve">Households above required income</t>
  </si>
  <si>
    <t xml:space="preserve">Linear interpolation within containing bracket</t>
  </si>
  <si>
    <t xml:space="preserve">% of households income-qualified</t>
  </si>
  <si>
    <t xml:space="preserve">Addressable households (income × credit screen)</t>
  </si>
  <si>
    <t xml:space="preserve">Expected annual customers in geography</t>
  </si>
  <si>
    <t xml:space="preserve">Supportable locations (territory sizing)</t>
  </si>
  <si>
    <t xml:space="preserve">If &lt; 1.0, expand the geography until ≥ 1.0 — that boundary is the protected territory</t>
  </si>
  <si>
    <t xml:space="preserve">Note: top bracket ($200,000+) uses a $10M synthetic upper bound; if required income lands in this bracket, interpolation understates precision — use a finer-grained ACS table (B19001 at tract level) instead.</t>
  </si>
  <si>
    <t xml:space="preserve">Lender Tier Scenarios — what each financing tier does to affordability</t>
  </si>
  <si>
    <t xml:space="preserve">Generic tiers; plug in any lender’s published terms. Key finding: APR and TERM move required income far more than credit cutoffs move population share.</t>
  </si>
  <si>
    <t xml:space="preserve">Tier (generic)</t>
  </si>
  <si>
    <t xml:space="preserve">Amount financed ($)</t>
  </si>
  <si>
    <t xml:space="preserve">APR</t>
  </si>
  <si>
    <t xml:space="preserve">Term (mo)</t>
  </si>
  <si>
    <t xml:space="preserve">Monthly payment</t>
  </si>
  <si>
    <t xml:space="preserve">Req. income @8% PTI</t>
  </si>
  <si>
    <t xml:space="preserve">Req. income @5% PTI</t>
  </si>
  <si>
    <t xml:space="preserve">Notes</t>
  </si>
  <si>
    <t xml:space="preserve">Prime bank installment — public max APR</t>
  </si>
  <si>
    <t xml:space="preserve">Public anchor: U.S. Bank Avvance FAQ, 0%–24.99%, 3–60 mo. BASE CASE.</t>
  </si>
  <si>
    <t xml:space="preserve">0% promotional, 36 mo</t>
  </si>
  <si>
    <t xml:space="preserve">Merchant absorbs promo fee (~8–25%+ of ticket; fee rate depends on financing terms — GreenSky 10-K, SEC). Model revenue net of fee.</t>
  </si>
  <si>
    <t xml:space="preserve">0% promotional, 24 mo</t>
  </si>
  <si>
    <t xml:space="preserve">Shorter promo term → higher payment → smaller affordable pool.</t>
  </si>
  <si>
    <t xml:space="preserve">0% short-term, 12 mo, $7,500 cap</t>
  </si>
  <si>
    <t xml:space="preserve">Highest monthly payment of any tier despite 0% APR. Also leaves $1,000 cash gap on an $8,500 package. Term dominates APR.</t>
  </si>
  <si>
    <t xml:space="preserve">Near-prime marketplace average</t>
  </si>
  <si>
    <t xml:space="preserve">Public benchmark: NerdWallet avg APR 26.70% for 300–629 scores (Jun 2026).</t>
  </si>
  <si>
    <t xml:space="preserve">High-APR subprime, 24 mo</t>
  </si>
  <si>
    <t xml:space="preserve">Where state law permits (rate caps block this tier in many states — add a state availability flag). ILLUSTRATIVE.</t>
  </si>
  <si>
    <t xml:space="preserve">High-APR subprime, 12 mo</t>
  </si>
  <si>
    <t xml:space="preserve">Affordability self-defeating at full ticket: required income exceeds the income profile of the credit band it serves.</t>
  </si>
  <si>
    <t xml:space="preserve">READING THIS TABLE: wider credit coverage (near-prime/subprime tiers) does NOT proportionally widen the affordable market at full ticket — the payment burden rises faster than the eligible population grows, and the income required at 120% APR exceeds the typical income of subprime borrowers. The defensible base case for territory sizing remains the prime tier at the published maximum APR. Subprime and promo tiers change capture RATE (penetration) more than market SIZE — and penetration must be substantiated from the brand’s own outlet history (NASAA 19.19–19.20).</t>
  </si>
</sst>
</file>

<file path=xl/styles.xml><?xml version="1.0" encoding="utf-8"?>
<styleSheet xmlns="http://schemas.openxmlformats.org/spreadsheetml/2006/main">
  <numFmts count="13">
    <numFmt numFmtId="164" formatCode="General"/>
    <numFmt numFmtId="165" formatCode="\$#,##0"/>
    <numFmt numFmtId="166" formatCode="0.00%"/>
    <numFmt numFmtId="167" formatCode="0"/>
    <numFmt numFmtId="168" formatCode="0.0%"/>
    <numFmt numFmtId="169" formatCode="\$#,##0.00"/>
    <numFmt numFmtId="170" formatCode="0%"/>
    <numFmt numFmtId="171" formatCode="\$#,##0"/>
    <numFmt numFmtId="172" formatCode="0.00\x"/>
    <numFmt numFmtId="173" formatCode="@"/>
    <numFmt numFmtId="174" formatCode="#,##0"/>
    <numFmt numFmtId="175" formatCode="0.0"/>
    <numFmt numFmtId="176" formatCode="\$#,##0.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b val="true"/>
      <sz val="11"/>
      <color rgb="FF9C0006"/>
      <name val="Arial"/>
      <family val="0"/>
      <charset val="1"/>
    </font>
    <font>
      <sz val="11"/>
      <color rgb="FF0000FF"/>
      <name val="Arial"/>
      <family val="0"/>
      <charset val="1"/>
    </font>
    <font>
      <i val="true"/>
      <sz val="9"/>
      <color rgb="FF808080"/>
      <name val="Arial"/>
      <family val="0"/>
      <charset val="1"/>
    </font>
  </fonts>
  <fills count="4">
    <fill>
      <patternFill patternType="none"/>
    </fill>
    <fill>
      <patternFill patternType="gray125"/>
    </fill>
    <fill>
      <patternFill patternType="solid">
        <fgColor rgb="FFD5E8F0"/>
        <bgColor rgb="FFCC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general" vertical="bottom" textRotation="0" wrapText="false" indent="0" shrinkToFit="false"/>
      <protection locked="true" hidden="false"/>
    </xf>
    <xf numFmtId="169" fontId="5" fillId="0" borderId="1"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8" fontId="5" fillId="0" borderId="1"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7" fontId="5" fillId="0" borderId="1" xfId="0" applyFont="true" applyBorder="true" applyAlignment="true" applyProtection="false">
      <alignment horizontal="general" vertical="bottom" textRotation="0" wrapText="false" indent="0" shrinkToFit="false"/>
      <protection locked="true" hidden="false"/>
    </xf>
    <xf numFmtId="172" fontId="0" fillId="0" borderId="1" xfId="0" applyFont="false" applyBorder="true" applyAlignment="true" applyProtection="false">
      <alignment horizontal="general" vertical="bottom" textRotation="0" wrapText="false" indent="0" shrinkToFit="false"/>
      <protection locked="true" hidden="false"/>
    </xf>
    <xf numFmtId="167" fontId="0" fillId="0" borderId="1" xfId="0" applyFont="false" applyBorder="true" applyAlignment="true" applyProtection="false">
      <alignment horizontal="general" vertical="bottom" textRotation="0" wrapText="false" indent="0" shrinkToFit="false"/>
      <protection locked="true" hidden="false"/>
    </xf>
    <xf numFmtId="170" fontId="0" fillId="0" borderId="1" xfId="0" applyFont="false" applyBorder="true" applyAlignment="tru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73" fontId="8" fillId="3" borderId="1" xfId="0" applyFont="true" applyBorder="true" applyAlignment="true" applyProtection="false">
      <alignment horizontal="general" vertical="bottom" textRotation="0" wrapText="false" indent="0" shrinkToFit="false"/>
      <protection locked="true" hidden="false"/>
    </xf>
    <xf numFmtId="174" fontId="8" fillId="3" borderId="1" xfId="0" applyFont="true" applyBorder="true" applyAlignment="true" applyProtection="false">
      <alignment horizontal="general" vertical="bottom" textRotation="0" wrapText="false" indent="0" shrinkToFit="false"/>
      <protection locked="true" hidden="false"/>
    </xf>
    <xf numFmtId="166" fontId="8" fillId="3" borderId="1"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true" indent="0" shrinkToFit="false"/>
      <protection locked="true" hidden="false"/>
    </xf>
    <xf numFmtId="174" fontId="8" fillId="0" borderId="1" xfId="0" applyFont="true" applyBorder="tru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74" fontId="5" fillId="0" borderId="1" xfId="0" applyFont="true" applyBorder="true" applyAlignment="true" applyProtection="false">
      <alignment horizontal="general" vertical="bottom" textRotation="0" wrapText="false" indent="0" shrinkToFit="false"/>
      <protection locked="true" hidden="false"/>
    </xf>
    <xf numFmtId="175" fontId="5" fillId="0" borderId="1"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71"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76" fontId="5"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CCCCC"/>
      <rgbColor rgb="FF808080"/>
      <rgbColor rgb="FF9999FF"/>
      <rgbColor rgb="FF993366"/>
      <rgbColor rgb="FFFFFFCC"/>
      <rgbColor rgb="FFD5E8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10"/>
  </cols>
  <sheetData>
    <row r="1" customFormat="false" ht="17.25" hidden="false" customHeight="true" outlineLevel="0" collapsed="false">
      <c r="A1" s="2" t="s">
        <v>0</v>
      </c>
    </row>
    <row r="2" customFormat="false" ht="15" hidden="false" customHeight="true" outlineLevel="0" collapsed="false">
      <c r="A2" s="3"/>
    </row>
    <row r="3" customFormat="false" ht="26.25" hidden="false" customHeight="true" outlineLevel="0" collapsed="false">
      <c r="A3" s="3" t="s">
        <v>1</v>
      </c>
    </row>
    <row r="4" customFormat="false" ht="15" hidden="false" customHeight="true" outlineLevel="0" collapsed="false">
      <c r="A4" s="3"/>
    </row>
    <row r="5" customFormat="false" ht="15" hidden="false" customHeight="true" outlineLevel="0" collapsed="false">
      <c r="A5" s="4" t="s">
        <v>2</v>
      </c>
    </row>
    <row r="6" customFormat="false" ht="26.25" hidden="false" customHeight="true" outlineLevel="0" collapsed="false">
      <c r="A6" s="3" t="s">
        <v>3</v>
      </c>
    </row>
    <row r="7" customFormat="false" ht="26.25" hidden="false" customHeight="true" outlineLevel="0" collapsed="false">
      <c r="A7" s="3" t="s">
        <v>4</v>
      </c>
    </row>
    <row r="8" customFormat="false" ht="26.25" hidden="false" customHeight="true" outlineLevel="0" collapsed="false">
      <c r="A8" s="3" t="s">
        <v>5</v>
      </c>
    </row>
    <row r="9" customFormat="false" ht="26.25" hidden="false" customHeight="true" outlineLevel="0" collapsed="false">
      <c r="A9" s="3" t="s">
        <v>6</v>
      </c>
    </row>
    <row r="10" customFormat="false" ht="26.25" hidden="false" customHeight="true" outlineLevel="0" collapsed="false">
      <c r="A10" s="3" t="s">
        <v>7</v>
      </c>
    </row>
    <row r="11" customFormat="false" ht="26.25" hidden="false" customHeight="true" outlineLevel="0" collapsed="false">
      <c r="A11" s="3" t="s">
        <v>8</v>
      </c>
    </row>
    <row r="12" customFormat="false" ht="26.25" hidden="false" customHeight="true" outlineLevel="0" collapsed="false">
      <c r="A12" s="3" t="s">
        <v>9</v>
      </c>
    </row>
    <row r="13" customFormat="false" ht="15" hidden="false" customHeight="true" outlineLevel="0" collapsed="false">
      <c r="A13" s="3"/>
    </row>
    <row r="14" customFormat="false" ht="15" hidden="false" customHeight="true" outlineLevel="0" collapsed="false">
      <c r="A14" s="4" t="s">
        <v>10</v>
      </c>
    </row>
    <row r="15" customFormat="false" ht="15" hidden="false" customHeight="true" outlineLevel="0" collapsed="false">
      <c r="A15" s="3" t="s">
        <v>11</v>
      </c>
    </row>
    <row r="16" customFormat="false" ht="15" hidden="false" customHeight="true" outlineLevel="0" collapsed="false">
      <c r="A16" s="3" t="s">
        <v>12</v>
      </c>
    </row>
    <row r="17" customFormat="false" ht="26.25" hidden="false" customHeight="true" outlineLevel="0" collapsed="false">
      <c r="A17" s="3" t="s">
        <v>13</v>
      </c>
    </row>
    <row r="18" customFormat="false" ht="15" hidden="false" customHeight="true" outlineLevel="0" collapsed="false">
      <c r="A18" s="3"/>
    </row>
    <row r="19" customFormat="false" ht="51.75" hidden="false" customHeight="true" outlineLevel="0" collapsed="false">
      <c r="A19" s="3" t="s">
        <v>14</v>
      </c>
    </row>
    <row r="20" customFormat="false" ht="15" hidden="false" customHeight="true" outlineLevel="0" collapsed="false">
      <c r="A20" s="3"/>
    </row>
    <row r="21" customFormat="false" ht="51.75" hidden="false" customHeight="true" outlineLevel="0" collapsed="false">
      <c r="A21" s="3" t="s">
        <v>15</v>
      </c>
    </row>
    <row r="22" customFormat="false" ht="15" hidden="false" customHeight="false" outlineLevel="0" collapsed="false">
      <c r="A22" s="3"/>
    </row>
    <row r="23" customFormat="false" ht="15" hidden="false" customHeight="false" outlineLevel="0" collapsed="false">
      <c r="A23" s="5" t="s">
        <v>16</v>
      </c>
    </row>
    <row r="24" customFormat="false" ht="102.95" hidden="false" customHeight="false" outlineLevel="0" collapsed="false">
      <c r="A24" s="3" t="s">
        <v>17</v>
      </c>
    </row>
    <row r="25" customFormat="false" ht="15" hidden="false" customHeight="false" outlineLevel="0" collapsed="false">
      <c r="A25" s="3"/>
    </row>
    <row r="26" customFormat="false" ht="15" hidden="false" customHeight="false" outlineLevel="0" collapsed="false">
      <c r="A26" s="4" t="s">
        <v>18</v>
      </c>
    </row>
    <row r="27" customFormat="false" ht="15" hidden="false" customHeight="false" outlineLevel="0" collapsed="false">
      <c r="A27" s="3" t="s">
        <v>19</v>
      </c>
    </row>
    <row r="28" customFormat="false" ht="26.85" hidden="false" customHeight="false" outlineLevel="0" collapsed="false">
      <c r="A28" s="3" t="s">
        <v>20</v>
      </c>
    </row>
    <row r="29" customFormat="false" ht="39.55" hidden="false" customHeight="false" outlineLevel="0" collapsed="false">
      <c r="A29" s="3"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2" min="2" style="1" width="16"/>
    <col collapsed="false" customWidth="true" hidden="false" outlineLevel="0" max="3" min="3" style="1" width="70"/>
  </cols>
  <sheetData>
    <row r="1" customFormat="false" ht="17.25" hidden="false" customHeight="true" outlineLevel="0" collapsed="false">
      <c r="A1" s="6" t="s">
        <v>22</v>
      </c>
    </row>
    <row r="3" customFormat="false" ht="15" hidden="false" customHeight="true" outlineLevel="0" collapsed="false">
      <c r="A3" s="7" t="s">
        <v>23</v>
      </c>
    </row>
    <row r="4" customFormat="false" ht="15" hidden="false" customHeight="true" outlineLevel="0" collapsed="false">
      <c r="A4" s="8" t="s">
        <v>24</v>
      </c>
      <c r="B4" s="9" t="n">
        <v>8500</v>
      </c>
      <c r="C4" s="10" t="s">
        <v>25</v>
      </c>
    </row>
    <row r="5" customFormat="false" ht="15" hidden="false" customHeight="true" outlineLevel="0" collapsed="false">
      <c r="A5" s="8" t="s">
        <v>26</v>
      </c>
      <c r="B5" s="11" t="n">
        <v>0.2499</v>
      </c>
      <c r="C5" s="10" t="s">
        <v>27</v>
      </c>
    </row>
    <row r="6" customFormat="false" ht="15" hidden="false" customHeight="true" outlineLevel="0" collapsed="false">
      <c r="A6" s="8" t="s">
        <v>28</v>
      </c>
      <c r="B6" s="12" t="n">
        <v>60</v>
      </c>
      <c r="C6" s="10" t="s">
        <v>29</v>
      </c>
    </row>
    <row r="7" customFormat="false" ht="15" hidden="false" customHeight="true" outlineLevel="0" collapsed="false">
      <c r="A7" s="8" t="s">
        <v>30</v>
      </c>
      <c r="B7" s="13" t="n">
        <v>0.08</v>
      </c>
      <c r="C7" s="10" t="s">
        <v>31</v>
      </c>
    </row>
    <row r="8" customFormat="false" ht="15" hidden="false" customHeight="true" outlineLevel="0" collapsed="false">
      <c r="A8" s="8" t="s">
        <v>32</v>
      </c>
      <c r="B8" s="12" t="n">
        <v>670</v>
      </c>
      <c r="C8" s="10" t="s">
        <v>33</v>
      </c>
    </row>
    <row r="10" customFormat="false" ht="15" hidden="false" customHeight="true" outlineLevel="0" collapsed="false">
      <c r="A10" s="7" t="s">
        <v>34</v>
      </c>
    </row>
    <row r="11" customFormat="false" ht="15" hidden="false" customHeight="true" outlineLevel="0" collapsed="false">
      <c r="A11" s="8" t="s">
        <v>35</v>
      </c>
      <c r="B11" s="12" t="n">
        <v>36</v>
      </c>
      <c r="C11" s="10" t="s">
        <v>36</v>
      </c>
    </row>
    <row r="12" customFormat="false" ht="15" hidden="false" customHeight="true" outlineLevel="0" collapsed="false">
      <c r="A12" s="8" t="s">
        <v>37</v>
      </c>
      <c r="B12" s="13" t="n">
        <v>0.15</v>
      </c>
      <c r="C12" s="10" t="s">
        <v>38</v>
      </c>
    </row>
    <row r="14" customFormat="false" ht="15" hidden="false" customHeight="true" outlineLevel="0" collapsed="false">
      <c r="A14" s="7" t="s">
        <v>39</v>
      </c>
    </row>
    <row r="15" customFormat="false" ht="15" hidden="false" customHeight="true" outlineLevel="0" collapsed="false">
      <c r="A15" s="8" t="s">
        <v>40</v>
      </c>
      <c r="B15" s="14" t="n">
        <f aca="false">B4*(B5/12)/(1-(1+B5/12)^-B6)</f>
        <v>249.436418698251</v>
      </c>
    </row>
    <row r="16" customFormat="false" ht="15" hidden="false" customHeight="true" outlineLevel="0" collapsed="false">
      <c r="A16" s="8" t="s">
        <v>41</v>
      </c>
      <c r="B16" s="15" t="n">
        <f aca="false">B15*12/B7</f>
        <v>37415.4628047376</v>
      </c>
    </row>
    <row r="17" customFormat="false" ht="15" hidden="false" customHeight="true" outlineLevel="0" collapsed="false">
      <c r="A17" s="8" t="s">
        <v>42</v>
      </c>
      <c r="B17" s="14" t="n">
        <f aca="false">B4/B11</f>
        <v>236.111111111111</v>
      </c>
    </row>
    <row r="18" customFormat="false" ht="15" hidden="false" customHeight="true" outlineLevel="0" collapsed="false">
      <c r="A18" s="8" t="s">
        <v>43</v>
      </c>
      <c r="B18" s="15" t="n">
        <f aca="false">B17*12/B7</f>
        <v>35416.6666666667</v>
      </c>
    </row>
    <row r="19" customFormat="false" ht="15" hidden="false" customHeight="true" outlineLevel="0" collapsed="false">
      <c r="A19" s="8" t="s">
        <v>44</v>
      </c>
      <c r="B19" s="15" t="n">
        <f aca="false">B4*(1-B12)</f>
        <v>7225</v>
      </c>
    </row>
    <row r="20" customFormat="false" ht="15" hidden="false" customHeight="true" outlineLevel="0" collapsed="false">
      <c r="A20" s="8" t="s">
        <v>45</v>
      </c>
      <c r="B20" s="15" t="n">
        <f aca="false">B4*B12</f>
        <v>1275</v>
      </c>
    </row>
    <row r="22" customFormat="false" ht="15" hidden="false" customHeight="true" outlineLevel="0" collapsed="false">
      <c r="A22" s="7" t="s">
        <v>46</v>
      </c>
    </row>
    <row r="23" customFormat="false" ht="15" hidden="false" customHeight="true" outlineLevel="0" collapsed="false">
      <c r="A23" s="7" t="s">
        <v>47</v>
      </c>
      <c r="B23" s="7" t="s">
        <v>48</v>
      </c>
    </row>
    <row r="24" customFormat="false" ht="15" hidden="false" customHeight="true" outlineLevel="0" collapsed="false">
      <c r="A24" s="8" t="s">
        <v>49</v>
      </c>
      <c r="B24" s="16" t="n">
        <v>0.147</v>
      </c>
    </row>
    <row r="25" customFormat="false" ht="15" hidden="false" customHeight="true" outlineLevel="0" collapsed="false">
      <c r="A25" s="8" t="s">
        <v>50</v>
      </c>
      <c r="B25" s="16" t="n">
        <v>0.149</v>
      </c>
    </row>
    <row r="26" customFormat="false" ht="15" hidden="false" customHeight="true" outlineLevel="0" collapsed="false">
      <c r="A26" s="8" t="s">
        <v>51</v>
      </c>
      <c r="B26" s="16" t="n">
        <v>0.201</v>
      </c>
    </row>
    <row r="27" customFormat="false" ht="15" hidden="false" customHeight="true" outlineLevel="0" collapsed="false">
      <c r="A27" s="8" t="s">
        <v>52</v>
      </c>
      <c r="B27" s="16" t="n">
        <v>0.275</v>
      </c>
    </row>
    <row r="28" customFormat="false" ht="15" hidden="false" customHeight="true" outlineLevel="0" collapsed="false">
      <c r="A28" s="8" t="s">
        <v>53</v>
      </c>
      <c r="B28" s="16" t="n">
        <v>0.228</v>
      </c>
    </row>
    <row r="29" customFormat="false" ht="15" hidden="false" customHeight="true" outlineLevel="0" collapsed="false">
      <c r="A29" s="8" t="s">
        <v>54</v>
      </c>
      <c r="B29" s="16" t="n">
        <f aca="false">SUM(B26:B28)</f>
        <v>0.704</v>
      </c>
      <c r="C29" s="10" t="s">
        <v>55</v>
      </c>
    </row>
    <row r="31" customFormat="false" ht="15" hidden="false" customHeight="false" outlineLevel="0" collapsed="false">
      <c r="A31" s="17" t="s">
        <v>56</v>
      </c>
    </row>
    <row r="32" customFormat="false" ht="15" hidden="false" customHeight="false" outlineLevel="0" collapsed="false">
      <c r="A32" s="17" t="s">
        <v>57</v>
      </c>
      <c r="B32" s="17" t="s">
        <v>58</v>
      </c>
    </row>
    <row r="33" customFormat="false" ht="15" hidden="false" customHeight="false" outlineLevel="0" collapsed="false">
      <c r="A33" s="18" t="n">
        <v>0.05</v>
      </c>
      <c r="B33" s="19" t="n">
        <f aca="false">$B$15*12/A33</f>
        <v>59864.7404875802</v>
      </c>
    </row>
    <row r="34" customFormat="false" ht="15" hidden="false" customHeight="false" outlineLevel="0" collapsed="false">
      <c r="A34" s="18" t="n">
        <v>0.08</v>
      </c>
      <c r="B34" s="19" t="n">
        <f aca="false">$B$15*12/A34</f>
        <v>37415.4628047376</v>
      </c>
    </row>
    <row r="35" customFormat="false" ht="15" hidden="false" customHeight="false" outlineLevel="0" collapsed="false">
      <c r="A35" s="18" t="n">
        <v>0.1</v>
      </c>
      <c r="B35" s="19" t="n">
        <f aca="false">$B$15*12/A35</f>
        <v>29932.3702437901</v>
      </c>
    </row>
    <row r="36" customFormat="false" ht="15" hidden="false" customHeight="false" outlineLevel="0" collapsed="false">
      <c r="A36" s="20" t="s">
        <v>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2" min="2" style="1" width="7"/>
    <col collapsed="false" customWidth="true" hidden="false" outlineLevel="0" max="3" min="3" style="1" width="12"/>
    <col collapsed="false" customWidth="true" hidden="false" outlineLevel="0" max="4" min="4" style="1" width="16"/>
    <col collapsed="false" customWidth="true" hidden="false" outlineLevel="0" max="5" min="5" style="1" width="14"/>
    <col collapsed="false" customWidth="true" hidden="false" outlineLevel="0" max="6" min="6" style="1" width="12"/>
    <col collapsed="false" customWidth="true" hidden="false" outlineLevel="0" max="8" min="7" style="1" width="11"/>
    <col collapsed="false" customWidth="true" hidden="false" outlineLevel="0" max="9" min="9" style="1" width="14"/>
    <col collapsed="false" customWidth="true" hidden="false" outlineLevel="0" max="10" min="10" style="0" width="14"/>
  </cols>
  <sheetData>
    <row r="1" customFormat="false" ht="39" hidden="false" customHeight="true" outlineLevel="0" collapsed="false">
      <c r="A1" s="21" t="s">
        <v>60</v>
      </c>
      <c r="B1" s="21" t="s">
        <v>61</v>
      </c>
      <c r="C1" s="21" t="s">
        <v>62</v>
      </c>
      <c r="D1" s="21" t="s">
        <v>63</v>
      </c>
      <c r="E1" s="21" t="s">
        <v>64</v>
      </c>
      <c r="F1" s="21" t="s">
        <v>65</v>
      </c>
      <c r="G1" s="21" t="s">
        <v>66</v>
      </c>
      <c r="H1" s="21" t="s">
        <v>67</v>
      </c>
      <c r="I1" s="21" t="s">
        <v>68</v>
      </c>
      <c r="J1" s="21" t="s">
        <v>69</v>
      </c>
    </row>
    <row r="2" customFormat="false" ht="15" hidden="false" customHeight="true" outlineLevel="0" collapsed="false">
      <c r="A2" s="22" t="s">
        <v>70</v>
      </c>
      <c r="B2" s="22" t="s">
        <v>71</v>
      </c>
      <c r="C2" s="23" t="n">
        <v>689</v>
      </c>
      <c r="D2" s="15" t="n">
        <v>65560</v>
      </c>
      <c r="E2" s="24" t="n">
        <f aca="false">D2/Assumptions!$B$16</f>
        <v>1.75221673301603</v>
      </c>
      <c r="F2" s="25" t="n">
        <f aca="false">C2-713</f>
        <v>-24</v>
      </c>
      <c r="G2" s="26" t="n">
        <f aca="false">PERCENTRANK($D$2:$D$52,D2)</f>
        <v>0.14</v>
      </c>
      <c r="H2" s="26" t="n">
        <f aca="false">PERCENTRANK($C$2:$C$52,C2)</f>
        <v>0.04</v>
      </c>
      <c r="I2" s="25" t="n">
        <f aca="false">ROUND(50*(G2+H2),0)</f>
        <v>9</v>
      </c>
      <c r="J2" s="27" t="n">
        <f aca="false">IF((1383-C2)&lt;=300,1,IF((1383-C2)&lt;580,0.853+0.147*(580-(1383-C2))/280,IF((1383-C2)&lt;670,0.704+0.149*(670-(1383-C2))/90,IF((1383-C2)&lt;740,0.503+0.201*(740-(1383-C2))/70,IF((1383-C2)&lt;800,0.228+0.275*(800-(1383-C2))/60,0.228*(850-(1383-C2))/50)))))</f>
        <v>0.635085714285714</v>
      </c>
    </row>
    <row r="3" customFormat="false" ht="15" hidden="false" customHeight="true" outlineLevel="0" collapsed="false">
      <c r="A3" s="22" t="s">
        <v>72</v>
      </c>
      <c r="B3" s="22" t="s">
        <v>73</v>
      </c>
      <c r="C3" s="23" t="n">
        <v>720</v>
      </c>
      <c r="D3" s="15" t="n">
        <v>91260</v>
      </c>
      <c r="E3" s="24" t="n">
        <f aca="false">D3/Assumptions!$B$16</f>
        <v>2.43909852127887</v>
      </c>
      <c r="F3" s="25" t="n">
        <f aca="false">C3-713</f>
        <v>7</v>
      </c>
      <c r="G3" s="26" t="n">
        <f aca="false">PERCENTRANK($D$2:$D$52,D3)</f>
        <v>0.72</v>
      </c>
      <c r="H3" s="26" t="n">
        <f aca="false">PERCENTRANK($C$2:$C$52,C3)</f>
        <v>0.5</v>
      </c>
      <c r="I3" s="25" t="n">
        <f aca="false">ROUND(50*(G3+H3),0)</f>
        <v>61</v>
      </c>
      <c r="J3" s="27" t="n">
        <f aca="false">IF((1383-C3)&lt;=300,1,IF((1383-C3)&lt;580,0.853+0.147*(580-(1383-C3))/280,IF((1383-C3)&lt;670,0.704+0.149*(670-(1383-C3))/90,IF((1383-C3)&lt;740,0.503+0.201*(740-(1383-C3))/70,IF((1383-C3)&lt;800,0.228+0.275*(800-(1383-C3))/60,0.228*(850-(1383-C3))/50)))))</f>
        <v>0.715588888888889</v>
      </c>
    </row>
    <row r="4" customFormat="false" ht="15" hidden="false" customHeight="true" outlineLevel="0" collapsed="false">
      <c r="A4" s="22" t="s">
        <v>74</v>
      </c>
      <c r="B4" s="22" t="s">
        <v>75</v>
      </c>
      <c r="C4" s="23" t="n">
        <v>709</v>
      </c>
      <c r="D4" s="15" t="n">
        <v>84700</v>
      </c>
      <c r="E4" s="24" t="n">
        <f aca="false">D4/Assumptions!$B$16</f>
        <v>2.26376994030594</v>
      </c>
      <c r="F4" s="25" t="n">
        <f aca="false">C4-713</f>
        <v>-4</v>
      </c>
      <c r="G4" s="26" t="n">
        <f aca="false">PERCENTRANK($D$2:$D$52,D4)</f>
        <v>0.52</v>
      </c>
      <c r="H4" s="26" t="n">
        <f aca="false">PERCENTRANK($C$2:$C$52,C4)</f>
        <v>0.3</v>
      </c>
      <c r="I4" s="25" t="n">
        <f aca="false">ROUND(50*(G4+H4),0)</f>
        <v>41</v>
      </c>
      <c r="J4" s="27" t="n">
        <f aca="false">IF((1383-C4)&lt;=300,1,IF((1383-C4)&lt;580,0.853+0.147*(580-(1383-C4))/280,IF((1383-C4)&lt;670,0.704+0.149*(670-(1383-C4))/90,IF((1383-C4)&lt;740,0.503+0.201*(740-(1383-C4))/70,IF((1383-C4)&lt;800,0.228+0.275*(800-(1383-C4))/60,0.228*(850-(1383-C4))/50)))))</f>
        <v>0.692514285714286</v>
      </c>
    </row>
    <row r="5" customFormat="false" ht="15" hidden="false" customHeight="true" outlineLevel="0" collapsed="false">
      <c r="A5" s="22" t="s">
        <v>76</v>
      </c>
      <c r="B5" s="22" t="s">
        <v>77</v>
      </c>
      <c r="C5" s="23" t="n">
        <v>693</v>
      </c>
      <c r="D5" s="15" t="n">
        <v>64840</v>
      </c>
      <c r="E5" s="24" t="n">
        <f aca="false">D5/Assumptions!$B$16</f>
        <v>1.73297335217753</v>
      </c>
      <c r="F5" s="25" t="n">
        <f aca="false">C5-713</f>
        <v>-20</v>
      </c>
      <c r="G5" s="26" t="n">
        <f aca="false">PERCENTRANK($D$2:$D$52,D5)</f>
        <v>0.1</v>
      </c>
      <c r="H5" s="26" t="n">
        <f aca="false">PERCENTRANK($C$2:$C$52,C5)</f>
        <v>0.1</v>
      </c>
      <c r="I5" s="25" t="n">
        <f aca="false">ROUND(50*(G5+H5),0)</f>
        <v>10</v>
      </c>
      <c r="J5" s="27" t="n">
        <f aca="false">IF((1383-C5)&lt;=300,1,IF((1383-C5)&lt;580,0.853+0.147*(580-(1383-C5))/280,IF((1383-C5)&lt;670,0.704+0.149*(670-(1383-C5))/90,IF((1383-C5)&lt;740,0.503+0.201*(740-(1383-C5))/70,IF((1383-C5)&lt;800,0.228+0.275*(800-(1383-C5))/60,0.228*(850-(1383-C5))/50)))))</f>
        <v>0.646571428571429</v>
      </c>
    </row>
    <row r="6" customFormat="false" ht="15" hidden="false" customHeight="true" outlineLevel="0" collapsed="false">
      <c r="A6" s="22" t="s">
        <v>78</v>
      </c>
      <c r="B6" s="22" t="s">
        <v>79</v>
      </c>
      <c r="C6" s="23" t="n">
        <v>721</v>
      </c>
      <c r="D6" s="15" t="n">
        <v>100600</v>
      </c>
      <c r="E6" s="24" t="n">
        <f aca="false">D6/Assumptions!$B$16</f>
        <v>2.68872793382264</v>
      </c>
      <c r="F6" s="25" t="n">
        <f aca="false">C6-713</f>
        <v>8</v>
      </c>
      <c r="G6" s="26" t="n">
        <f aca="false">PERCENTRANK($D$2:$D$52,D6)</f>
        <v>0.86</v>
      </c>
      <c r="H6" s="26" t="n">
        <f aca="false">PERCENTRANK($C$2:$C$52,C6)</f>
        <v>0.58</v>
      </c>
      <c r="I6" s="25" t="n">
        <f aca="false">ROUND(50*(G6+H6),0)</f>
        <v>72</v>
      </c>
      <c r="J6" s="27" t="n">
        <f aca="false">IF((1383-C6)&lt;=300,1,IF((1383-C6)&lt;580,0.853+0.147*(580-(1383-C6))/280,IF((1383-C6)&lt;670,0.704+0.149*(670-(1383-C6))/90,IF((1383-C6)&lt;740,0.503+0.201*(740-(1383-C6))/70,IF((1383-C6)&lt;800,0.228+0.275*(800-(1383-C6))/60,0.228*(850-(1383-C6))/50)))))</f>
        <v>0.717244444444444</v>
      </c>
    </row>
    <row r="7" customFormat="false" ht="15" hidden="false" customHeight="true" outlineLevel="0" collapsed="false">
      <c r="A7" s="22" t="s">
        <v>80</v>
      </c>
      <c r="B7" s="22" t="s">
        <v>81</v>
      </c>
      <c r="C7" s="23" t="n">
        <v>729</v>
      </c>
      <c r="D7" s="15" t="n">
        <v>106500</v>
      </c>
      <c r="E7" s="24" t="n">
        <f aca="false">D7/Assumptions!$B$16</f>
        <v>2.84641674902695</v>
      </c>
      <c r="F7" s="25" t="n">
        <f aca="false">C7-713</f>
        <v>16</v>
      </c>
      <c r="G7" s="26" t="n">
        <f aca="false">PERCENTRANK($D$2:$D$52,D7)</f>
        <v>0.94</v>
      </c>
      <c r="H7" s="26" t="n">
        <f aca="false">PERCENTRANK($C$2:$C$52,C7)</f>
        <v>0.74</v>
      </c>
      <c r="I7" s="25" t="n">
        <f aca="false">ROUND(50*(G7+H7),0)</f>
        <v>84</v>
      </c>
      <c r="J7" s="27" t="n">
        <f aca="false">IF((1383-C7)&lt;=300,1,IF((1383-C7)&lt;580,0.853+0.147*(580-(1383-C7))/280,IF((1383-C7)&lt;670,0.704+0.149*(670-(1383-C7))/90,IF((1383-C7)&lt;740,0.503+0.201*(740-(1383-C7))/70,IF((1383-C7)&lt;800,0.228+0.275*(800-(1383-C7))/60,0.228*(850-(1383-C7))/50)))))</f>
        <v>0.730488888888889</v>
      </c>
    </row>
    <row r="8" customFormat="false" ht="15" hidden="false" customHeight="true" outlineLevel="0" collapsed="false">
      <c r="A8" s="22" t="s">
        <v>82</v>
      </c>
      <c r="B8" s="22" t="s">
        <v>83</v>
      </c>
      <c r="C8" s="23" t="n">
        <v>724</v>
      </c>
      <c r="D8" s="15" t="n">
        <v>99240</v>
      </c>
      <c r="E8" s="24" t="n">
        <f aca="false">D8/Assumptions!$B$16</f>
        <v>2.65237932557216</v>
      </c>
      <c r="F8" s="25" t="n">
        <f aca="false">C8-713</f>
        <v>11</v>
      </c>
      <c r="G8" s="26" t="n">
        <f aca="false">PERCENTRANK($D$2:$D$52,D8)</f>
        <v>0.84</v>
      </c>
      <c r="H8" s="26" t="n">
        <f aca="false">PERCENTRANK($C$2:$C$52,C8)</f>
        <v>0.66</v>
      </c>
      <c r="I8" s="25" t="n">
        <f aca="false">ROUND(50*(G8+H8),0)</f>
        <v>75</v>
      </c>
      <c r="J8" s="27" t="n">
        <f aca="false">IF((1383-C8)&lt;=300,1,IF((1383-C8)&lt;580,0.853+0.147*(580-(1383-C8))/280,IF((1383-C8)&lt;670,0.704+0.149*(670-(1383-C8))/90,IF((1383-C8)&lt;740,0.503+0.201*(740-(1383-C8))/70,IF((1383-C8)&lt;800,0.228+0.275*(800-(1383-C8))/60,0.228*(850-(1383-C8))/50)))))</f>
        <v>0.722211111111111</v>
      </c>
    </row>
    <row r="9" customFormat="false" ht="15" hidden="false" customHeight="true" outlineLevel="0" collapsed="false">
      <c r="A9" s="22" t="s">
        <v>84</v>
      </c>
      <c r="B9" s="22" t="s">
        <v>85</v>
      </c>
      <c r="C9" s="23" t="n">
        <v>713</v>
      </c>
      <c r="D9" s="15" t="n">
        <v>85860</v>
      </c>
      <c r="E9" s="24" t="n">
        <f aca="false">D9/Assumptions!$B$16</f>
        <v>2.29477316499018</v>
      </c>
      <c r="F9" s="25" t="n">
        <f aca="false">C9-713</f>
        <v>0</v>
      </c>
      <c r="G9" s="26" t="n">
        <f aca="false">PERCENTRANK($D$2:$D$52,D9)</f>
        <v>0.58</v>
      </c>
      <c r="H9" s="26" t="n">
        <f aca="false">PERCENTRANK($C$2:$C$52,C9)</f>
        <v>0.38</v>
      </c>
      <c r="I9" s="25" t="n">
        <f aca="false">ROUND(50*(G9+H9),0)</f>
        <v>48</v>
      </c>
      <c r="J9" s="27" t="n">
        <f aca="false">IF((1383-C9)&lt;=300,1,IF((1383-C9)&lt;580,0.853+0.147*(580-(1383-C9))/280,IF((1383-C9)&lt;670,0.704+0.149*(670-(1383-C9))/90,IF((1383-C9)&lt;740,0.503+0.201*(740-(1383-C9))/70,IF((1383-C9)&lt;800,0.228+0.275*(800-(1383-C9))/60,0.228*(850-(1383-C9))/50)))))</f>
        <v>0.704</v>
      </c>
    </row>
    <row r="10" customFormat="false" ht="15" hidden="false" customHeight="true" outlineLevel="0" collapsed="false">
      <c r="A10" s="22" t="s">
        <v>86</v>
      </c>
      <c r="B10" s="22" t="s">
        <v>87</v>
      </c>
      <c r="C10" s="23" t="n">
        <v>711</v>
      </c>
      <c r="D10" s="15" t="n">
        <v>104800</v>
      </c>
      <c r="E10" s="24" t="n">
        <f aca="false">D10/Assumptions!$B$16</f>
        <v>2.80098098871384</v>
      </c>
      <c r="F10" s="25" t="n">
        <f aca="false">C10-713</f>
        <v>-2</v>
      </c>
      <c r="G10" s="26" t="n">
        <f aca="false">PERCENTRANK($D$2:$D$52,D10)</f>
        <v>0.92</v>
      </c>
      <c r="H10" s="26" t="n">
        <f aca="false">PERCENTRANK($C$2:$C$52,C10)</f>
        <v>0.34</v>
      </c>
      <c r="I10" s="25" t="n">
        <f aca="false">ROUND(50*(G10+H10),0)</f>
        <v>63</v>
      </c>
      <c r="J10" s="27" t="n">
        <f aca="false">IF((1383-C10)&lt;=300,1,IF((1383-C10)&lt;580,0.853+0.147*(580-(1383-C10))/280,IF((1383-C10)&lt;670,0.704+0.149*(670-(1383-C10))/90,IF((1383-C10)&lt;740,0.503+0.201*(740-(1383-C10))/70,IF((1383-C10)&lt;800,0.228+0.275*(800-(1383-C10))/60,0.228*(850-(1383-C10))/50)))))</f>
        <v>0.698257142857143</v>
      </c>
    </row>
    <row r="11" customFormat="false" ht="15" hidden="false" customHeight="true" outlineLevel="0" collapsed="false">
      <c r="A11" s="22" t="s">
        <v>88</v>
      </c>
      <c r="B11" s="22" t="s">
        <v>89</v>
      </c>
      <c r="C11" s="23" t="n">
        <v>704</v>
      </c>
      <c r="D11" s="15" t="n">
        <v>75630</v>
      </c>
      <c r="E11" s="24" t="n">
        <f aca="false">D11/Assumptions!$B$16</f>
        <v>2.0213567955766</v>
      </c>
      <c r="F11" s="25" t="n">
        <f aca="false">C11-713</f>
        <v>-9</v>
      </c>
      <c r="G11" s="26" t="n">
        <f aca="false">PERCENTRANK($D$2:$D$52,D11)</f>
        <v>0.18</v>
      </c>
      <c r="H11" s="26" t="n">
        <f aca="false">PERCENTRANK($C$2:$C$52,C11)</f>
        <v>0.24</v>
      </c>
      <c r="I11" s="25" t="n">
        <f aca="false">ROUND(50*(G11+H11),0)</f>
        <v>21</v>
      </c>
      <c r="J11" s="27" t="n">
        <f aca="false">IF((1383-C11)&lt;=300,1,IF((1383-C11)&lt;580,0.853+0.147*(580-(1383-C11))/280,IF((1383-C11)&lt;670,0.704+0.149*(670-(1383-C11))/90,IF((1383-C11)&lt;740,0.503+0.201*(740-(1383-C11))/70,IF((1383-C11)&lt;800,0.228+0.275*(800-(1383-C11))/60,0.228*(850-(1383-C11))/50)))))</f>
        <v>0.678157142857143</v>
      </c>
    </row>
    <row r="12" customFormat="false" ht="15" hidden="false" customHeight="true" outlineLevel="0" collapsed="false">
      <c r="A12" s="22" t="s">
        <v>90</v>
      </c>
      <c r="B12" s="22" t="s">
        <v>91</v>
      </c>
      <c r="C12" s="23" t="n">
        <v>692</v>
      </c>
      <c r="D12" s="15" t="n">
        <v>81210</v>
      </c>
      <c r="E12" s="24" t="n">
        <f aca="false">D12/Assumptions!$B$16</f>
        <v>2.17049299707492</v>
      </c>
      <c r="F12" s="25" t="n">
        <f aca="false">C12-713</f>
        <v>-21</v>
      </c>
      <c r="G12" s="26" t="n">
        <f aca="false">PERCENTRANK($D$2:$D$52,D12)</f>
        <v>0.4</v>
      </c>
      <c r="H12" s="26" t="n">
        <f aca="false">PERCENTRANK($C$2:$C$52,C12)</f>
        <v>0.06</v>
      </c>
      <c r="I12" s="25" t="n">
        <f aca="false">ROUND(50*(G12+H12),0)</f>
        <v>23</v>
      </c>
      <c r="J12" s="27" t="n">
        <f aca="false">IF((1383-C12)&lt;=300,1,IF((1383-C12)&lt;580,0.853+0.147*(580-(1383-C12))/280,IF((1383-C12)&lt;670,0.704+0.149*(670-(1383-C12))/90,IF((1383-C12)&lt;740,0.503+0.201*(740-(1383-C12))/70,IF((1383-C12)&lt;800,0.228+0.275*(800-(1383-C12))/60,0.228*(850-(1383-C12))/50)))))</f>
        <v>0.6437</v>
      </c>
    </row>
    <row r="13" customFormat="false" ht="15" hidden="false" customHeight="true" outlineLevel="0" collapsed="false">
      <c r="A13" s="22" t="s">
        <v>92</v>
      </c>
      <c r="B13" s="22" t="s">
        <v>93</v>
      </c>
      <c r="C13" s="23" t="n">
        <v>730</v>
      </c>
      <c r="D13" s="15" t="n">
        <v>98240</v>
      </c>
      <c r="E13" s="24" t="n">
        <f aca="false">D13/Assumptions!$B$16</f>
        <v>2.62565240774092</v>
      </c>
      <c r="F13" s="25" t="n">
        <f aca="false">C13-713</f>
        <v>17</v>
      </c>
      <c r="G13" s="26" t="n">
        <f aca="false">PERCENTRANK($D$2:$D$52,D13)</f>
        <v>0.82</v>
      </c>
      <c r="H13" s="26" t="n">
        <f aca="false">PERCENTRANK($C$2:$C$52,C13)</f>
        <v>0.78</v>
      </c>
      <c r="I13" s="25" t="n">
        <f aca="false">ROUND(50*(G13+H13),0)</f>
        <v>80</v>
      </c>
      <c r="J13" s="27" t="n">
        <f aca="false">IF((1383-C13)&lt;=300,1,IF((1383-C13)&lt;580,0.853+0.147*(580-(1383-C13))/280,IF((1383-C13)&lt;670,0.704+0.149*(670-(1383-C13))/90,IF((1383-C13)&lt;740,0.503+0.201*(740-(1383-C13))/70,IF((1383-C13)&lt;800,0.228+0.275*(800-(1383-C13))/60,0.228*(850-(1383-C13))/50)))))</f>
        <v>0.732144444444444</v>
      </c>
    </row>
    <row r="14" customFormat="false" ht="15" hidden="false" customHeight="true" outlineLevel="0" collapsed="false">
      <c r="A14" s="22" t="s">
        <v>94</v>
      </c>
      <c r="B14" s="22" t="s">
        <v>95</v>
      </c>
      <c r="C14" s="23" t="n">
        <v>729</v>
      </c>
      <c r="D14" s="15" t="n">
        <v>81650</v>
      </c>
      <c r="E14" s="24" t="n">
        <f aca="false">D14/Assumptions!$B$16</f>
        <v>2.18225284092066</v>
      </c>
      <c r="F14" s="25" t="n">
        <f aca="false">C14-713</f>
        <v>16</v>
      </c>
      <c r="G14" s="26" t="n">
        <f aca="false">PERCENTRANK($D$2:$D$52,D14)</f>
        <v>0.44</v>
      </c>
      <c r="H14" s="26" t="n">
        <f aca="false">PERCENTRANK($C$2:$C$52,C14)</f>
        <v>0.74</v>
      </c>
      <c r="I14" s="25" t="n">
        <f aca="false">ROUND(50*(G14+H14),0)</f>
        <v>59</v>
      </c>
      <c r="J14" s="27" t="n">
        <f aca="false">IF((1383-C14)&lt;=300,1,IF((1383-C14)&lt;580,0.853+0.147*(580-(1383-C14))/280,IF((1383-C14)&lt;670,0.704+0.149*(670-(1383-C14))/90,IF((1383-C14)&lt;740,0.503+0.201*(740-(1383-C14))/70,IF((1383-C14)&lt;800,0.228+0.275*(800-(1383-C14))/60,0.228*(850-(1383-C14))/50)))))</f>
        <v>0.730488888888889</v>
      </c>
    </row>
    <row r="15" customFormat="false" ht="15" hidden="false" customHeight="true" outlineLevel="0" collapsed="false">
      <c r="A15" s="22" t="s">
        <v>96</v>
      </c>
      <c r="B15" s="22" t="s">
        <v>97</v>
      </c>
      <c r="C15" s="23" t="n">
        <v>720</v>
      </c>
      <c r="D15" s="15" t="n">
        <v>84210</v>
      </c>
      <c r="E15" s="24" t="n">
        <f aca="false">D15/Assumptions!$B$16</f>
        <v>2.25067375056863</v>
      </c>
      <c r="F15" s="25" t="n">
        <f aca="false">C15-713</f>
        <v>7</v>
      </c>
      <c r="G15" s="26" t="n">
        <f aca="false">PERCENTRANK($D$2:$D$52,D15)</f>
        <v>0.5</v>
      </c>
      <c r="H15" s="26" t="n">
        <f aca="false">PERCENTRANK($C$2:$C$52,C15)</f>
        <v>0.5</v>
      </c>
      <c r="I15" s="25" t="n">
        <f aca="false">ROUND(50*(G15+H15),0)</f>
        <v>50</v>
      </c>
      <c r="J15" s="27" t="n">
        <f aca="false">IF((1383-C15)&lt;=300,1,IF((1383-C15)&lt;580,0.853+0.147*(580-(1383-C15))/280,IF((1383-C15)&lt;670,0.704+0.149*(670-(1383-C15))/90,IF((1383-C15)&lt;740,0.503+0.201*(740-(1383-C15))/70,IF((1383-C15)&lt;800,0.228+0.275*(800-(1383-C15))/60,0.228*(850-(1383-C15))/50)))))</f>
        <v>0.715588888888889</v>
      </c>
    </row>
    <row r="16" customFormat="false" ht="15" hidden="false" customHeight="true" outlineLevel="0" collapsed="false">
      <c r="A16" s="22" t="s">
        <v>98</v>
      </c>
      <c r="B16" s="22" t="s">
        <v>99</v>
      </c>
      <c r="C16" s="23" t="n">
        <v>710</v>
      </c>
      <c r="D16" s="15" t="n">
        <v>76710</v>
      </c>
      <c r="E16" s="24" t="n">
        <f aca="false">D16/Assumptions!$B$16</f>
        <v>2.05022186683434</v>
      </c>
      <c r="F16" s="25" t="n">
        <f aca="false">C16-713</f>
        <v>-3</v>
      </c>
      <c r="G16" s="26" t="n">
        <f aca="false">PERCENTRANK($D$2:$D$52,D16)</f>
        <v>0.22</v>
      </c>
      <c r="H16" s="26" t="n">
        <f aca="false">PERCENTRANK($C$2:$C$52,C16)</f>
        <v>0.32</v>
      </c>
      <c r="I16" s="25" t="n">
        <f aca="false">ROUND(50*(G16+H16),0)</f>
        <v>27</v>
      </c>
      <c r="J16" s="27" t="n">
        <f aca="false">IF((1383-C16)&lt;=300,1,IF((1383-C16)&lt;580,0.853+0.147*(580-(1383-C16))/280,IF((1383-C16)&lt;670,0.704+0.149*(670-(1383-C16))/90,IF((1383-C16)&lt;740,0.503+0.201*(740-(1383-C16))/70,IF((1383-C16)&lt;800,0.228+0.275*(800-(1383-C16))/60,0.228*(850-(1383-C16))/50)))))</f>
        <v>0.695385714285714</v>
      </c>
    </row>
    <row r="17" customFormat="false" ht="15" hidden="false" customHeight="true" outlineLevel="0" collapsed="false">
      <c r="A17" s="22" t="s">
        <v>100</v>
      </c>
      <c r="B17" s="22" t="s">
        <v>101</v>
      </c>
      <c r="C17" s="23" t="n">
        <v>728</v>
      </c>
      <c r="D17" s="15" t="n">
        <v>85480</v>
      </c>
      <c r="E17" s="24" t="n">
        <f aca="false">D17/Assumptions!$B$16</f>
        <v>2.28461693621431</v>
      </c>
      <c r="F17" s="25" t="n">
        <f aca="false">C17-713</f>
        <v>15</v>
      </c>
      <c r="G17" s="26" t="n">
        <f aca="false">PERCENTRANK($D$2:$D$52,D17)</f>
        <v>0.56</v>
      </c>
      <c r="H17" s="26" t="n">
        <f aca="false">PERCENTRANK($C$2:$C$52,C17)</f>
        <v>0.68</v>
      </c>
      <c r="I17" s="25" t="n">
        <f aca="false">ROUND(50*(G17+H17),0)</f>
        <v>62</v>
      </c>
      <c r="J17" s="27" t="n">
        <f aca="false">IF((1383-C17)&lt;=300,1,IF((1383-C17)&lt;580,0.853+0.147*(580-(1383-C17))/280,IF((1383-C17)&lt;670,0.704+0.149*(670-(1383-C17))/90,IF((1383-C17)&lt;740,0.503+0.201*(740-(1383-C17))/70,IF((1383-C17)&lt;800,0.228+0.275*(800-(1383-C17))/60,0.228*(850-(1383-C17))/50)))))</f>
        <v>0.728833333333333</v>
      </c>
    </row>
    <row r="18" customFormat="false" ht="15" hidden="false" customHeight="true" outlineLevel="0" collapsed="false">
      <c r="A18" s="22" t="s">
        <v>102</v>
      </c>
      <c r="B18" s="22" t="s">
        <v>103</v>
      </c>
      <c r="C18" s="23" t="n">
        <v>720</v>
      </c>
      <c r="D18" s="15" t="n">
        <v>87690</v>
      </c>
      <c r="E18" s="24" t="n">
        <f aca="false">D18/Assumptions!$B$16</f>
        <v>2.34368342462135</v>
      </c>
      <c r="F18" s="25" t="n">
        <f aca="false">C18-713</f>
        <v>7</v>
      </c>
      <c r="G18" s="26" t="n">
        <f aca="false">PERCENTRANK($D$2:$D$52,D18)</f>
        <v>0.64</v>
      </c>
      <c r="H18" s="26" t="n">
        <f aca="false">PERCENTRANK($C$2:$C$52,C18)</f>
        <v>0.5</v>
      </c>
      <c r="I18" s="25" t="n">
        <f aca="false">ROUND(50*(G18+H18),0)</f>
        <v>57</v>
      </c>
      <c r="J18" s="27" t="n">
        <f aca="false">IF((1383-C18)&lt;=300,1,IF((1383-C18)&lt;580,0.853+0.147*(580-(1383-C18))/280,IF((1383-C18)&lt;670,0.704+0.149*(670-(1383-C18))/90,IF((1383-C18)&lt;740,0.503+0.201*(740-(1383-C18))/70,IF((1383-C18)&lt;800,0.228+0.275*(800-(1383-C18))/60,0.228*(850-(1383-C18))/50)))))</f>
        <v>0.715588888888889</v>
      </c>
    </row>
    <row r="19" customFormat="false" ht="15" hidden="false" customHeight="true" outlineLevel="0" collapsed="false">
      <c r="A19" s="22" t="s">
        <v>104</v>
      </c>
      <c r="B19" s="22" t="s">
        <v>105</v>
      </c>
      <c r="C19" s="23" t="n">
        <v>704</v>
      </c>
      <c r="D19" s="15" t="n">
        <v>64790</v>
      </c>
      <c r="E19" s="24" t="n">
        <f aca="false">D19/Assumptions!$B$16</f>
        <v>1.73163700628597</v>
      </c>
      <c r="F19" s="25" t="n">
        <f aca="false">C19-713</f>
        <v>-9</v>
      </c>
      <c r="G19" s="26" t="n">
        <f aca="false">PERCENTRANK($D$2:$D$52,D19)</f>
        <v>0.08</v>
      </c>
      <c r="H19" s="26" t="n">
        <f aca="false">PERCENTRANK($C$2:$C$52,C19)</f>
        <v>0.24</v>
      </c>
      <c r="I19" s="25" t="n">
        <f aca="false">ROUND(50*(G19+H19),0)</f>
        <v>16</v>
      </c>
      <c r="J19" s="27" t="n">
        <f aca="false">IF((1383-C19)&lt;=300,1,IF((1383-C19)&lt;580,0.853+0.147*(580-(1383-C19))/280,IF((1383-C19)&lt;670,0.704+0.149*(670-(1383-C19))/90,IF((1383-C19)&lt;740,0.503+0.201*(740-(1383-C19))/70,IF((1383-C19)&lt;800,0.228+0.275*(800-(1383-C19))/60,0.228*(850-(1383-C19))/50)))))</f>
        <v>0.678157142857143</v>
      </c>
    </row>
    <row r="20" customFormat="false" ht="15" hidden="false" customHeight="true" outlineLevel="0" collapsed="false">
      <c r="A20" s="22" t="s">
        <v>106</v>
      </c>
      <c r="B20" s="22" t="s">
        <v>107</v>
      </c>
      <c r="C20" s="23" t="n">
        <v>686</v>
      </c>
      <c r="D20" s="15" t="n">
        <v>60740</v>
      </c>
      <c r="E20" s="24" t="n">
        <f aca="false">D20/Assumptions!$B$16</f>
        <v>1.62339298906946</v>
      </c>
      <c r="F20" s="25" t="n">
        <f aca="false">C20-713</f>
        <v>-27</v>
      </c>
      <c r="G20" s="26" t="n">
        <f aca="false">PERCENTRANK($D$2:$D$52,D20)</f>
        <v>0.02</v>
      </c>
      <c r="H20" s="26" t="n">
        <f aca="false">PERCENTRANK($C$2:$C$52,C20)</f>
        <v>0.02</v>
      </c>
      <c r="I20" s="25" t="n">
        <f aca="false">ROUND(50*(G20+H20),0)</f>
        <v>2</v>
      </c>
      <c r="J20" s="27" t="n">
        <f aca="false">IF((1383-C20)&lt;=300,1,IF((1383-C20)&lt;580,0.853+0.147*(580-(1383-C20))/280,IF((1383-C20)&lt;670,0.704+0.149*(670-(1383-C20))/90,IF((1383-C20)&lt;740,0.503+0.201*(740-(1383-C20))/70,IF((1383-C20)&lt;800,0.228+0.275*(800-(1383-C20))/60,0.228*(850-(1383-C20))/50)))))</f>
        <v>0.626471428571429</v>
      </c>
    </row>
    <row r="21" customFormat="false" ht="15" hidden="false" customHeight="true" outlineLevel="0" collapsed="false">
      <c r="A21" s="22" t="s">
        <v>108</v>
      </c>
      <c r="B21" s="22" t="s">
        <v>109</v>
      </c>
      <c r="C21" s="23" t="n">
        <v>731</v>
      </c>
      <c r="D21" s="15" t="n">
        <v>90730</v>
      </c>
      <c r="E21" s="24" t="n">
        <f aca="false">D21/Assumptions!$B$16</f>
        <v>2.42493325482831</v>
      </c>
      <c r="F21" s="25" t="n">
        <f aca="false">C21-713</f>
        <v>18</v>
      </c>
      <c r="G21" s="26" t="n">
        <f aca="false">PERCENTRANK($D$2:$D$52,D21)</f>
        <v>0.7</v>
      </c>
      <c r="H21" s="26" t="n">
        <f aca="false">PERCENTRANK($C$2:$C$52,C21)</f>
        <v>0.86</v>
      </c>
      <c r="I21" s="25" t="n">
        <f aca="false">ROUND(50*(G21+H21),0)</f>
        <v>78</v>
      </c>
      <c r="J21" s="27" t="n">
        <f aca="false">IF((1383-C21)&lt;=300,1,IF((1383-C21)&lt;580,0.853+0.147*(580-(1383-C21))/280,IF((1383-C21)&lt;670,0.704+0.149*(670-(1383-C21))/90,IF((1383-C21)&lt;740,0.503+0.201*(740-(1383-C21))/70,IF((1383-C21)&lt;800,0.228+0.275*(800-(1383-C21))/60,0.228*(850-(1383-C21))/50)))))</f>
        <v>0.7338</v>
      </c>
    </row>
    <row r="22" customFormat="false" ht="15" hidden="false" customHeight="true" outlineLevel="0" collapsed="false">
      <c r="A22" s="22" t="s">
        <v>110</v>
      </c>
      <c r="B22" s="22" t="s">
        <v>111</v>
      </c>
      <c r="C22" s="23" t="n">
        <v>714</v>
      </c>
      <c r="D22" s="15" t="n">
        <v>109700</v>
      </c>
      <c r="E22" s="24" t="n">
        <f aca="false">D22/Assumptions!$B$16</f>
        <v>2.93194288608692</v>
      </c>
      <c r="F22" s="25" t="n">
        <f aca="false">C22-713</f>
        <v>1</v>
      </c>
      <c r="G22" s="26" t="n">
        <f aca="false">PERCENTRANK($D$2:$D$52,D22)</f>
        <v>0.96</v>
      </c>
      <c r="H22" s="26" t="n">
        <f aca="false">PERCENTRANK($C$2:$C$52,C22)</f>
        <v>0.42</v>
      </c>
      <c r="I22" s="25" t="n">
        <f aca="false">ROUND(50*(G22+H22),0)</f>
        <v>69</v>
      </c>
      <c r="J22" s="27" t="n">
        <f aca="false">IF((1383-C22)&lt;=300,1,IF((1383-C22)&lt;580,0.853+0.147*(580-(1383-C22))/280,IF((1383-C22)&lt;670,0.704+0.149*(670-(1383-C22))/90,IF((1383-C22)&lt;740,0.503+0.201*(740-(1383-C22))/70,IF((1383-C22)&lt;800,0.228+0.275*(800-(1383-C22))/60,0.228*(850-(1383-C22))/50)))))</f>
        <v>0.705655555555556</v>
      </c>
    </row>
    <row r="23" customFormat="false" ht="15" hidden="false" customHeight="true" outlineLevel="0" collapsed="false">
      <c r="A23" s="22" t="s">
        <v>112</v>
      </c>
      <c r="B23" s="22" t="s">
        <v>113</v>
      </c>
      <c r="C23" s="23" t="n">
        <v>731</v>
      </c>
      <c r="D23" s="15" t="n">
        <v>113900</v>
      </c>
      <c r="E23" s="24" t="n">
        <f aca="false">D23/Assumptions!$B$16</f>
        <v>3.04419594097812</v>
      </c>
      <c r="F23" s="25" t="n">
        <f aca="false">C23-713</f>
        <v>18</v>
      </c>
      <c r="G23" s="26" t="n">
        <f aca="false">PERCENTRANK($D$2:$D$52,D23)</f>
        <v>1</v>
      </c>
      <c r="H23" s="26" t="n">
        <f aca="false">PERCENTRANK($C$2:$C$52,C23)</f>
        <v>0.86</v>
      </c>
      <c r="I23" s="25" t="n">
        <f aca="false">ROUND(50*(G23+H23),0)</f>
        <v>93</v>
      </c>
      <c r="J23" s="27" t="n">
        <f aca="false">IF((1383-C23)&lt;=300,1,IF((1383-C23)&lt;580,0.853+0.147*(580-(1383-C23))/280,IF((1383-C23)&lt;670,0.704+0.149*(670-(1383-C23))/90,IF((1383-C23)&lt;740,0.503+0.201*(740-(1383-C23))/70,IF((1383-C23)&lt;800,0.228+0.275*(800-(1383-C23))/60,0.228*(850-(1383-C23))/50)))))</f>
        <v>0.7338</v>
      </c>
    </row>
    <row r="24" customFormat="false" ht="15" hidden="false" customHeight="true" outlineLevel="0" collapsed="false">
      <c r="A24" s="22" t="s">
        <v>114</v>
      </c>
      <c r="B24" s="22" t="s">
        <v>115</v>
      </c>
      <c r="C24" s="23" t="n">
        <v>717</v>
      </c>
      <c r="D24" s="15" t="n">
        <v>79460</v>
      </c>
      <c r="E24" s="24" t="n">
        <f aca="false">D24/Assumptions!$B$16</f>
        <v>2.12372089087025</v>
      </c>
      <c r="F24" s="25" t="n">
        <f aca="false">C24-713</f>
        <v>4</v>
      </c>
      <c r="G24" s="26" t="n">
        <f aca="false">PERCENTRANK($D$2:$D$52,D24)</f>
        <v>0.3</v>
      </c>
      <c r="H24" s="26" t="n">
        <f aca="false">PERCENTRANK($C$2:$C$52,C24)</f>
        <v>0.44</v>
      </c>
      <c r="I24" s="25" t="n">
        <f aca="false">ROUND(50*(G24+H24),0)</f>
        <v>37</v>
      </c>
      <c r="J24" s="27" t="n">
        <f aca="false">IF((1383-C24)&lt;=300,1,IF((1383-C24)&lt;580,0.853+0.147*(580-(1383-C24))/280,IF((1383-C24)&lt;670,0.704+0.149*(670-(1383-C24))/90,IF((1383-C24)&lt;740,0.503+0.201*(740-(1383-C24))/70,IF((1383-C24)&lt;800,0.228+0.275*(800-(1383-C24))/60,0.228*(850-(1383-C24))/50)))))</f>
        <v>0.710622222222222</v>
      </c>
    </row>
    <row r="25" customFormat="false" ht="15" hidden="false" customHeight="true" outlineLevel="0" collapsed="false">
      <c r="A25" s="22" t="s">
        <v>116</v>
      </c>
      <c r="B25" s="22" t="s">
        <v>117</v>
      </c>
      <c r="C25" s="23" t="n">
        <v>741</v>
      </c>
      <c r="D25" s="15" t="n">
        <v>92350</v>
      </c>
      <c r="E25" s="24" t="n">
        <f aca="false">D25/Assumptions!$B$16</f>
        <v>2.46823086171492</v>
      </c>
      <c r="F25" s="25" t="n">
        <f aca="false">C25-713</f>
        <v>28</v>
      </c>
      <c r="G25" s="26" t="n">
        <f aca="false">PERCENTRANK($D$2:$D$52,D25)</f>
        <v>0.76</v>
      </c>
      <c r="H25" s="26" t="n">
        <f aca="false">PERCENTRANK($C$2:$C$52,C25)</f>
        <v>1</v>
      </c>
      <c r="I25" s="25" t="n">
        <f aca="false">ROUND(50*(G25+H25),0)</f>
        <v>88</v>
      </c>
      <c r="J25" s="27" t="n">
        <f aca="false">IF((1383-C25)&lt;=300,1,IF((1383-C25)&lt;580,0.853+0.147*(580-(1383-C25))/280,IF((1383-C25)&lt;670,0.704+0.149*(670-(1383-C25))/90,IF((1383-C25)&lt;740,0.503+0.201*(740-(1383-C25))/70,IF((1383-C25)&lt;800,0.228+0.275*(800-(1383-C25))/60,0.228*(850-(1383-C25))/50)))))</f>
        <v>0.750355555555556</v>
      </c>
    </row>
    <row r="26" customFormat="false" ht="15" hidden="false" customHeight="true" outlineLevel="0" collapsed="false">
      <c r="A26" s="22" t="s">
        <v>118</v>
      </c>
      <c r="B26" s="22" t="s">
        <v>119</v>
      </c>
      <c r="C26" s="23" t="n">
        <v>677</v>
      </c>
      <c r="D26" s="15" t="n">
        <v>55980</v>
      </c>
      <c r="E26" s="24" t="n">
        <f aca="false">D26/Assumptions!$B$16</f>
        <v>1.49617286019276</v>
      </c>
      <c r="F26" s="25" t="n">
        <f aca="false">C26-713</f>
        <v>-36</v>
      </c>
      <c r="G26" s="26" t="n">
        <f aca="false">PERCENTRANK($D$2:$D$52,D26)</f>
        <v>0</v>
      </c>
      <c r="H26" s="26" t="n">
        <f aca="false">PERCENTRANK($C$2:$C$52,C26)</f>
        <v>0</v>
      </c>
      <c r="I26" s="25" t="n">
        <f aca="false">ROUND(50*(G26+H26),0)</f>
        <v>0</v>
      </c>
      <c r="J26" s="27" t="n">
        <f aca="false">IF((1383-C26)&lt;=300,1,IF((1383-C26)&lt;580,0.853+0.147*(580-(1383-C26))/280,IF((1383-C26)&lt;670,0.704+0.149*(670-(1383-C26))/90,IF((1383-C26)&lt;740,0.503+0.201*(740-(1383-C26))/70,IF((1383-C26)&lt;800,0.228+0.275*(800-(1383-C26))/60,0.228*(850-(1383-C26))/50)))))</f>
        <v>0.600628571428571</v>
      </c>
    </row>
    <row r="27" customFormat="false" ht="15" hidden="false" customHeight="true" outlineLevel="0" collapsed="false">
      <c r="A27" s="22" t="s">
        <v>120</v>
      </c>
      <c r="B27" s="22" t="s">
        <v>121</v>
      </c>
      <c r="C27" s="23" t="n">
        <v>712</v>
      </c>
      <c r="D27" s="15" t="n">
        <v>78390</v>
      </c>
      <c r="E27" s="24" t="n">
        <f aca="false">D27/Assumptions!$B$16</f>
        <v>2.09512308879082</v>
      </c>
      <c r="F27" s="25" t="n">
        <f aca="false">C27-713</f>
        <v>-1</v>
      </c>
      <c r="G27" s="26" t="n">
        <f aca="false">PERCENTRANK($D$2:$D$52,D27)</f>
        <v>0.26</v>
      </c>
      <c r="H27" s="26" t="n">
        <f aca="false">PERCENTRANK($C$2:$C$52,C27)</f>
        <v>0.36</v>
      </c>
      <c r="I27" s="25" t="n">
        <f aca="false">ROUND(50*(G27+H27),0)</f>
        <v>31</v>
      </c>
      <c r="J27" s="27" t="n">
        <f aca="false">IF((1383-C27)&lt;=300,1,IF((1383-C27)&lt;580,0.853+0.147*(580-(1383-C27))/280,IF((1383-C27)&lt;670,0.704+0.149*(670-(1383-C27))/90,IF((1383-C27)&lt;740,0.503+0.201*(740-(1383-C27))/70,IF((1383-C27)&lt;800,0.228+0.275*(800-(1383-C27))/60,0.228*(850-(1383-C27))/50)))))</f>
        <v>0.701128571428571</v>
      </c>
    </row>
    <row r="28" customFormat="false" ht="15" hidden="false" customHeight="true" outlineLevel="0" collapsed="false">
      <c r="A28" s="22" t="s">
        <v>122</v>
      </c>
      <c r="B28" s="22" t="s">
        <v>123</v>
      </c>
      <c r="C28" s="23" t="n">
        <v>730</v>
      </c>
      <c r="D28" s="15" t="n">
        <v>81920</v>
      </c>
      <c r="E28" s="24" t="n">
        <f aca="false">D28/Assumptions!$B$16</f>
        <v>2.1894691087351</v>
      </c>
      <c r="F28" s="25" t="n">
        <f aca="false">C28-713</f>
        <v>17</v>
      </c>
      <c r="G28" s="26" t="n">
        <f aca="false">PERCENTRANK($D$2:$D$52,D28)</f>
        <v>0.46</v>
      </c>
      <c r="H28" s="26" t="n">
        <f aca="false">PERCENTRANK($C$2:$C$52,C28)</f>
        <v>0.78</v>
      </c>
      <c r="I28" s="25" t="n">
        <f aca="false">ROUND(50*(G28+H28),0)</f>
        <v>62</v>
      </c>
      <c r="J28" s="27" t="n">
        <f aca="false">IF((1383-C28)&lt;=300,1,IF((1383-C28)&lt;580,0.853+0.147*(580-(1383-C28))/280,IF((1383-C28)&lt;670,0.704+0.149*(670-(1383-C28))/90,IF((1383-C28)&lt;740,0.503+0.201*(740-(1383-C28))/70,IF((1383-C28)&lt;800,0.228+0.275*(800-(1383-C28))/60,0.228*(850-(1383-C28))/50)))))</f>
        <v>0.732144444444444</v>
      </c>
    </row>
    <row r="29" customFormat="false" ht="15" hidden="false" customHeight="true" outlineLevel="0" collapsed="false">
      <c r="A29" s="22" t="s">
        <v>124</v>
      </c>
      <c r="B29" s="22" t="s">
        <v>125</v>
      </c>
      <c r="C29" s="23" t="n">
        <v>728</v>
      </c>
      <c r="D29" s="15" t="n">
        <v>86140</v>
      </c>
      <c r="E29" s="24" t="n">
        <f aca="false">D29/Assumptions!$B$16</f>
        <v>2.30225670198292</v>
      </c>
      <c r="F29" s="25" t="n">
        <f aca="false">C29-713</f>
        <v>15</v>
      </c>
      <c r="G29" s="26" t="n">
        <f aca="false">PERCENTRANK($D$2:$D$52,D29)</f>
        <v>0.6</v>
      </c>
      <c r="H29" s="26" t="n">
        <f aca="false">PERCENTRANK($C$2:$C$52,C29)</f>
        <v>0.68</v>
      </c>
      <c r="I29" s="25" t="n">
        <f aca="false">ROUND(50*(G29+H29),0)</f>
        <v>64</v>
      </c>
      <c r="J29" s="27" t="n">
        <f aca="false">IF((1383-C29)&lt;=300,1,IF((1383-C29)&lt;580,0.853+0.147*(580-(1383-C29))/280,IF((1383-C29)&lt;670,0.704+0.149*(670-(1383-C29))/90,IF((1383-C29)&lt;740,0.503+0.201*(740-(1383-C29))/70,IF((1383-C29)&lt;800,0.228+0.275*(800-(1383-C29))/60,0.228*(850-(1383-C29))/50)))))</f>
        <v>0.728833333333333</v>
      </c>
    </row>
    <row r="30" customFormat="false" ht="15" hidden="false" customHeight="true" outlineLevel="0" collapsed="false">
      <c r="A30" s="22" t="s">
        <v>126</v>
      </c>
      <c r="B30" s="22" t="s">
        <v>127</v>
      </c>
      <c r="C30" s="23" t="n">
        <v>699</v>
      </c>
      <c r="D30" s="15" t="n">
        <v>80590</v>
      </c>
      <c r="E30" s="24" t="n">
        <f aca="false">D30/Assumptions!$B$16</f>
        <v>2.15392230801955</v>
      </c>
      <c r="F30" s="25" t="n">
        <f aca="false">C30-713</f>
        <v>-14</v>
      </c>
      <c r="G30" s="26" t="n">
        <f aca="false">PERCENTRANK($D$2:$D$52,D30)</f>
        <v>0.38</v>
      </c>
      <c r="H30" s="26" t="n">
        <f aca="false">PERCENTRANK($C$2:$C$52,C30)</f>
        <v>0.14</v>
      </c>
      <c r="I30" s="25" t="n">
        <f aca="false">ROUND(50*(G30+H30),0)</f>
        <v>26</v>
      </c>
      <c r="J30" s="27" t="n">
        <f aca="false">IF((1383-C30)&lt;=300,1,IF((1383-C30)&lt;580,0.853+0.147*(580-(1383-C30))/280,IF((1383-C30)&lt;670,0.704+0.149*(670-(1383-C30))/90,IF((1383-C30)&lt;740,0.503+0.201*(740-(1383-C30))/70,IF((1383-C30)&lt;800,0.228+0.275*(800-(1383-C30))/60,0.228*(850-(1383-C30))/50)))))</f>
        <v>0.6638</v>
      </c>
    </row>
    <row r="31" customFormat="false" ht="15" hidden="false" customHeight="true" outlineLevel="0" collapsed="false">
      <c r="A31" s="22" t="s">
        <v>128</v>
      </c>
      <c r="B31" s="22" t="s">
        <v>129</v>
      </c>
      <c r="C31" s="23" t="n">
        <v>735</v>
      </c>
      <c r="D31" s="15" t="n">
        <v>111800</v>
      </c>
      <c r="E31" s="24" t="n">
        <f aca="false">D31/Assumptions!$B$16</f>
        <v>2.98806941353252</v>
      </c>
      <c r="F31" s="25" t="n">
        <f aca="false">C31-713</f>
        <v>22</v>
      </c>
      <c r="G31" s="26" t="n">
        <f aca="false">PERCENTRANK($D$2:$D$52,D31)</f>
        <v>0.98</v>
      </c>
      <c r="H31" s="26" t="n">
        <f aca="false">PERCENTRANK($C$2:$C$52,C31)</f>
        <v>0.94</v>
      </c>
      <c r="I31" s="25" t="n">
        <f aca="false">ROUND(50*(G31+H31),0)</f>
        <v>96</v>
      </c>
      <c r="J31" s="27" t="n">
        <f aca="false">IF((1383-C31)&lt;=300,1,IF((1383-C31)&lt;580,0.853+0.147*(580-(1383-C31))/280,IF((1383-C31)&lt;670,0.704+0.149*(670-(1383-C31))/90,IF((1383-C31)&lt;740,0.503+0.201*(740-(1383-C31))/70,IF((1383-C31)&lt;800,0.228+0.275*(800-(1383-C31))/60,0.228*(850-(1383-C31))/50)))))</f>
        <v>0.740422222222222</v>
      </c>
    </row>
    <row r="32" customFormat="false" ht="15" hidden="false" customHeight="true" outlineLevel="0" collapsed="false">
      <c r="A32" s="22" t="s">
        <v>130</v>
      </c>
      <c r="B32" s="22" t="s">
        <v>131</v>
      </c>
      <c r="C32" s="23" t="n">
        <v>722</v>
      </c>
      <c r="D32" s="15" t="n">
        <v>103500</v>
      </c>
      <c r="E32" s="24" t="n">
        <f aca="false">D32/Assumptions!$B$16</f>
        <v>2.76623599553323</v>
      </c>
      <c r="F32" s="25" t="n">
        <f aca="false">C32-713</f>
        <v>9</v>
      </c>
      <c r="G32" s="26" t="n">
        <f aca="false">PERCENTRANK($D$2:$D$52,D32)</f>
        <v>0.88</v>
      </c>
      <c r="H32" s="26" t="n">
        <f aca="false">PERCENTRANK($C$2:$C$52,C32)</f>
        <v>0.62</v>
      </c>
      <c r="I32" s="25" t="n">
        <f aca="false">ROUND(50*(G32+H32),0)</f>
        <v>75</v>
      </c>
      <c r="J32" s="27" t="n">
        <f aca="false">IF((1383-C32)&lt;=300,1,IF((1383-C32)&lt;580,0.853+0.147*(580-(1383-C32))/280,IF((1383-C32)&lt;670,0.704+0.149*(670-(1383-C32))/90,IF((1383-C32)&lt;740,0.503+0.201*(740-(1383-C32))/70,IF((1383-C32)&lt;800,0.228+0.275*(800-(1383-C32))/60,0.228*(850-(1383-C32))/50)))))</f>
        <v>0.7189</v>
      </c>
    </row>
    <row r="33" customFormat="false" ht="15" hidden="false" customHeight="true" outlineLevel="0" collapsed="false">
      <c r="A33" s="22" t="s">
        <v>132</v>
      </c>
      <c r="B33" s="22" t="s">
        <v>133</v>
      </c>
      <c r="C33" s="23" t="n">
        <v>701</v>
      </c>
      <c r="D33" s="15" t="n">
        <v>64140</v>
      </c>
      <c r="E33" s="24" t="n">
        <f aca="false">D33/Assumptions!$B$16</f>
        <v>1.71426450969567</v>
      </c>
      <c r="F33" s="25" t="n">
        <f aca="false">C33-713</f>
        <v>-12</v>
      </c>
      <c r="G33" s="26" t="n">
        <f aca="false">PERCENTRANK($D$2:$D$52,D33)</f>
        <v>0.06</v>
      </c>
      <c r="H33" s="26" t="n">
        <f aca="false">PERCENTRANK($C$2:$C$52,C33)</f>
        <v>0.2</v>
      </c>
      <c r="I33" s="25" t="n">
        <f aca="false">ROUND(50*(G33+H33),0)</f>
        <v>13</v>
      </c>
      <c r="J33" s="27" t="n">
        <f aca="false">IF((1383-C33)&lt;=300,1,IF((1383-C33)&lt;580,0.853+0.147*(580-(1383-C33))/280,IF((1383-C33)&lt;670,0.704+0.149*(670-(1383-C33))/90,IF((1383-C33)&lt;740,0.503+0.201*(740-(1383-C33))/70,IF((1383-C33)&lt;800,0.228+0.275*(800-(1383-C33))/60,0.228*(850-(1383-C33))/50)))))</f>
        <v>0.669542857142857</v>
      </c>
    </row>
    <row r="34" customFormat="false" ht="15" hidden="false" customHeight="true" outlineLevel="0" collapsed="false">
      <c r="A34" s="22" t="s">
        <v>134</v>
      </c>
      <c r="B34" s="22" t="s">
        <v>135</v>
      </c>
      <c r="C34" s="23" t="n">
        <v>719</v>
      </c>
      <c r="D34" s="15" t="n">
        <v>86830</v>
      </c>
      <c r="E34" s="24" t="n">
        <f aca="false">D34/Assumptions!$B$16</f>
        <v>2.32069827528648</v>
      </c>
      <c r="F34" s="25" t="n">
        <f aca="false">C34-713</f>
        <v>6</v>
      </c>
      <c r="G34" s="26" t="n">
        <f aca="false">PERCENTRANK($D$2:$D$52,D34)</f>
        <v>0.62</v>
      </c>
      <c r="H34" s="26" t="n">
        <f aca="false">PERCENTRANK($C$2:$C$52,C34)</f>
        <v>0.46</v>
      </c>
      <c r="I34" s="25" t="n">
        <f aca="false">ROUND(50*(G34+H34),0)</f>
        <v>54</v>
      </c>
      <c r="J34" s="27" t="n">
        <f aca="false">IF((1383-C34)&lt;=300,1,IF((1383-C34)&lt;580,0.853+0.147*(580-(1383-C34))/280,IF((1383-C34)&lt;670,0.704+0.149*(670-(1383-C34))/90,IF((1383-C34)&lt;740,0.503+0.201*(740-(1383-C34))/70,IF((1383-C34)&lt;800,0.228+0.275*(800-(1383-C34))/60,0.228*(850-(1383-C34))/50)))))</f>
        <v>0.713933333333333</v>
      </c>
    </row>
    <row r="35" customFormat="false" ht="15" hidden="false" customHeight="true" outlineLevel="0" collapsed="false">
      <c r="A35" s="22" t="s">
        <v>136</v>
      </c>
      <c r="B35" s="22" t="s">
        <v>137</v>
      </c>
      <c r="C35" s="23" t="n">
        <v>707</v>
      </c>
      <c r="D35" s="15" t="n">
        <v>67220</v>
      </c>
      <c r="E35" s="24" t="n">
        <f aca="false">D35/Assumptions!$B$16</f>
        <v>1.79658341661588</v>
      </c>
      <c r="F35" s="25" t="n">
        <f aca="false">C35-713</f>
        <v>-6</v>
      </c>
      <c r="G35" s="26" t="n">
        <f aca="false">PERCENTRANK($D$2:$D$52,D35)</f>
        <v>0.16</v>
      </c>
      <c r="H35" s="26" t="n">
        <f aca="false">PERCENTRANK($C$2:$C$52,C35)</f>
        <v>0.28</v>
      </c>
      <c r="I35" s="25" t="n">
        <f aca="false">ROUND(50*(G35+H35),0)</f>
        <v>22</v>
      </c>
      <c r="J35" s="27" t="n">
        <f aca="false">IF((1383-C35)&lt;=300,1,IF((1383-C35)&lt;580,0.853+0.147*(580-(1383-C35))/280,IF((1383-C35)&lt;670,0.704+0.149*(670-(1383-C35))/90,IF((1383-C35)&lt;740,0.503+0.201*(740-(1383-C35))/70,IF((1383-C35)&lt;800,0.228+0.275*(800-(1383-C35))/60,0.228*(850-(1383-C35))/50)))))</f>
        <v>0.686771428571429</v>
      </c>
    </row>
    <row r="36" customFormat="false" ht="15" hidden="false" customHeight="true" outlineLevel="0" collapsed="false">
      <c r="A36" s="22" t="s">
        <v>138</v>
      </c>
      <c r="B36" s="22" t="s">
        <v>139</v>
      </c>
      <c r="C36" s="23" t="n">
        <v>730</v>
      </c>
      <c r="D36" s="15" t="n">
        <v>88080</v>
      </c>
      <c r="E36" s="24" t="n">
        <f aca="false">D36/Assumptions!$B$16</f>
        <v>2.35410692257553</v>
      </c>
      <c r="F36" s="25" t="n">
        <f aca="false">C36-713</f>
        <v>17</v>
      </c>
      <c r="G36" s="26" t="n">
        <f aca="false">PERCENTRANK($D$2:$D$52,D36)</f>
        <v>0.66</v>
      </c>
      <c r="H36" s="26" t="n">
        <f aca="false">PERCENTRANK($C$2:$C$52,C36)</f>
        <v>0.78</v>
      </c>
      <c r="I36" s="25" t="n">
        <f aca="false">ROUND(50*(G36+H36),0)</f>
        <v>72</v>
      </c>
      <c r="J36" s="27" t="n">
        <f aca="false">IF((1383-C36)&lt;=300,1,IF((1383-C36)&lt;580,0.853+0.147*(580-(1383-C36))/280,IF((1383-C36)&lt;670,0.704+0.149*(670-(1383-C36))/90,IF((1383-C36)&lt;740,0.503+0.201*(740-(1383-C36))/70,IF((1383-C36)&lt;800,0.228+0.275*(800-(1383-C36))/60,0.228*(850-(1383-C36))/50)))))</f>
        <v>0.732144444444444</v>
      </c>
    </row>
    <row r="37" customFormat="false" ht="15" hidden="false" customHeight="true" outlineLevel="0" collapsed="false">
      <c r="A37" s="22" t="s">
        <v>140</v>
      </c>
      <c r="B37" s="22" t="s">
        <v>141</v>
      </c>
      <c r="C37" s="23" t="n">
        <v>713</v>
      </c>
      <c r="D37" s="15" t="n">
        <v>80520</v>
      </c>
      <c r="E37" s="24" t="n">
        <f aca="false">D37/Assumptions!$B$16</f>
        <v>2.15205142377136</v>
      </c>
      <c r="F37" s="25" t="n">
        <f aca="false">C37-713</f>
        <v>0</v>
      </c>
      <c r="G37" s="26" t="n">
        <f aca="false">PERCENTRANK($D$2:$D$52,D37)</f>
        <v>0.36</v>
      </c>
      <c r="H37" s="26" t="n">
        <f aca="false">PERCENTRANK($C$2:$C$52,C37)</f>
        <v>0.38</v>
      </c>
      <c r="I37" s="25" t="n">
        <f aca="false">ROUND(50*(G37+H37),0)</f>
        <v>37</v>
      </c>
      <c r="J37" s="27" t="n">
        <f aca="false">IF((1383-C37)&lt;=300,1,IF((1383-C37)&lt;580,0.853+0.147*(580-(1383-C37))/280,IF((1383-C37)&lt;670,0.704+0.149*(670-(1383-C37))/90,IF((1383-C37)&lt;740,0.503+0.201*(740-(1383-C37))/70,IF((1383-C37)&lt;800,0.228+0.275*(800-(1383-C37))/60,0.228*(850-(1383-C37))/50)))))</f>
        <v>0.704</v>
      </c>
    </row>
    <row r="38" customFormat="false" ht="15" hidden="false" customHeight="true" outlineLevel="0" collapsed="false">
      <c r="A38" s="22" t="s">
        <v>142</v>
      </c>
      <c r="B38" s="22" t="s">
        <v>143</v>
      </c>
      <c r="C38" s="23" t="n">
        <v>693</v>
      </c>
      <c r="D38" s="15" t="n">
        <v>65310</v>
      </c>
      <c r="E38" s="24" t="n">
        <f aca="false">D38/Assumptions!$B$16</f>
        <v>1.74553500355822</v>
      </c>
      <c r="F38" s="25" t="n">
        <f aca="false">C38-713</f>
        <v>-20</v>
      </c>
      <c r="G38" s="26" t="n">
        <f aca="false">PERCENTRANK($D$2:$D$52,D38)</f>
        <v>0.12</v>
      </c>
      <c r="H38" s="26" t="n">
        <f aca="false">PERCENTRANK($C$2:$C$52,C38)</f>
        <v>0.1</v>
      </c>
      <c r="I38" s="25" t="n">
        <f aca="false">ROUND(50*(G38+H38),0)</f>
        <v>11</v>
      </c>
      <c r="J38" s="27" t="n">
        <f aca="false">IF((1383-C38)&lt;=300,1,IF((1383-C38)&lt;580,0.853+0.147*(580-(1383-C38))/280,IF((1383-C38)&lt;670,0.704+0.149*(670-(1383-C38))/90,IF((1383-C38)&lt;740,0.503+0.201*(740-(1383-C38))/70,IF((1383-C38)&lt;800,0.228+0.275*(800-(1383-C38))/60,0.228*(850-(1383-C38))/50)))))</f>
        <v>0.646571428571429</v>
      </c>
    </row>
    <row r="39" customFormat="false" ht="15" hidden="false" customHeight="true" outlineLevel="0" collapsed="false">
      <c r="A39" s="22" t="s">
        <v>144</v>
      </c>
      <c r="B39" s="22" t="s">
        <v>145</v>
      </c>
      <c r="C39" s="23" t="n">
        <v>730</v>
      </c>
      <c r="D39" s="15" t="n">
        <v>89700</v>
      </c>
      <c r="E39" s="24" t="n">
        <f aca="false">D39/Assumptions!$B$16</f>
        <v>2.39740452946214</v>
      </c>
      <c r="F39" s="25" t="n">
        <f aca="false">C39-713</f>
        <v>17</v>
      </c>
      <c r="G39" s="26" t="n">
        <f aca="false">PERCENTRANK($D$2:$D$52,D39)</f>
        <v>0.68</v>
      </c>
      <c r="H39" s="26" t="n">
        <f aca="false">PERCENTRANK($C$2:$C$52,C39)</f>
        <v>0.78</v>
      </c>
      <c r="I39" s="25" t="n">
        <f aca="false">ROUND(50*(G39+H39),0)</f>
        <v>73</v>
      </c>
      <c r="J39" s="27" t="n">
        <f aca="false">IF((1383-C39)&lt;=300,1,IF((1383-C39)&lt;580,0.853+0.147*(580-(1383-C39))/280,IF((1383-C39)&lt;670,0.704+0.149*(670-(1383-C39))/90,IF((1383-C39)&lt;740,0.503+0.201*(740-(1383-C39))/70,IF((1383-C39)&lt;800,0.228+0.275*(800-(1383-C39))/60,0.228*(850-(1383-C39))/50)))))</f>
        <v>0.732144444444444</v>
      </c>
    </row>
    <row r="40" customFormat="false" ht="15" hidden="false" customHeight="true" outlineLevel="0" collapsed="false">
      <c r="A40" s="22" t="s">
        <v>146</v>
      </c>
      <c r="B40" s="22" t="s">
        <v>147</v>
      </c>
      <c r="C40" s="23" t="n">
        <v>720</v>
      </c>
      <c r="D40" s="15" t="n">
        <v>80060</v>
      </c>
      <c r="E40" s="24" t="n">
        <f aca="false">D40/Assumptions!$B$16</f>
        <v>2.13975704156899</v>
      </c>
      <c r="F40" s="25" t="n">
        <f aca="false">C40-713</f>
        <v>7</v>
      </c>
      <c r="G40" s="26" t="n">
        <f aca="false">PERCENTRANK($D$2:$D$52,D40)</f>
        <v>0.34</v>
      </c>
      <c r="H40" s="26" t="n">
        <f aca="false">PERCENTRANK($C$2:$C$52,C40)</f>
        <v>0.5</v>
      </c>
      <c r="I40" s="25" t="n">
        <f aca="false">ROUND(50*(G40+H40),0)</f>
        <v>42</v>
      </c>
      <c r="J40" s="27" t="n">
        <f aca="false">IF((1383-C40)&lt;=300,1,IF((1383-C40)&lt;580,0.853+0.147*(580-(1383-C40))/280,IF((1383-C40)&lt;670,0.704+0.149*(670-(1383-C40))/90,IF((1383-C40)&lt;740,0.503+0.201*(740-(1383-C40))/70,IF((1383-C40)&lt;800,0.228+0.275*(800-(1383-C40))/60,0.228*(850-(1383-C40))/50)))))</f>
        <v>0.715588888888889</v>
      </c>
    </row>
    <row r="41" customFormat="false" ht="15" hidden="false" customHeight="true" outlineLevel="0" collapsed="false">
      <c r="A41" s="22" t="s">
        <v>148</v>
      </c>
      <c r="B41" s="22" t="s">
        <v>149</v>
      </c>
      <c r="C41" s="23" t="n">
        <v>719</v>
      </c>
      <c r="D41" s="15" t="n">
        <v>92290</v>
      </c>
      <c r="E41" s="24" t="n">
        <f aca="false">D41/Assumptions!$B$16</f>
        <v>2.46662724664504</v>
      </c>
      <c r="F41" s="25" t="n">
        <f aca="false">C41-713</f>
        <v>6</v>
      </c>
      <c r="G41" s="26" t="n">
        <f aca="false">PERCENTRANK($D$2:$D$52,D41)</f>
        <v>0.74</v>
      </c>
      <c r="H41" s="26" t="n">
        <f aca="false">PERCENTRANK($C$2:$C$52,C41)</f>
        <v>0.46</v>
      </c>
      <c r="I41" s="25" t="n">
        <f aca="false">ROUND(50*(G41+H41),0)</f>
        <v>60</v>
      </c>
      <c r="J41" s="27" t="n">
        <f aca="false">IF((1383-C41)&lt;=300,1,IF((1383-C41)&lt;580,0.853+0.147*(580-(1383-C41))/280,IF((1383-C41)&lt;670,0.704+0.149*(670-(1383-C41))/90,IF((1383-C41)&lt;740,0.503+0.201*(740-(1383-C41))/70,IF((1383-C41)&lt;800,0.228+0.275*(800-(1383-C41))/60,0.228*(850-(1383-C41))/50)))))</f>
        <v>0.713933333333333</v>
      </c>
    </row>
    <row r="42" customFormat="false" ht="15" hidden="false" customHeight="true" outlineLevel="0" collapsed="false">
      <c r="A42" s="22" t="s">
        <v>150</v>
      </c>
      <c r="B42" s="22" t="s">
        <v>151</v>
      </c>
      <c r="C42" s="23" t="n">
        <v>699</v>
      </c>
      <c r="D42" s="15" t="n">
        <v>76780</v>
      </c>
      <c r="E42" s="24" t="n">
        <f aca="false">D42/Assumptions!$B$16</f>
        <v>2.05209275108253</v>
      </c>
      <c r="F42" s="25" t="n">
        <f aca="false">C42-713</f>
        <v>-14</v>
      </c>
      <c r="G42" s="26" t="n">
        <f aca="false">PERCENTRANK($D$2:$D$52,D42)</f>
        <v>0.24</v>
      </c>
      <c r="H42" s="26" t="n">
        <f aca="false">PERCENTRANK($C$2:$C$52,C42)</f>
        <v>0.14</v>
      </c>
      <c r="I42" s="25" t="n">
        <f aca="false">ROUND(50*(G42+H42),0)</f>
        <v>19</v>
      </c>
      <c r="J42" s="27" t="n">
        <f aca="false">IF((1383-C42)&lt;=300,1,IF((1383-C42)&lt;580,0.853+0.147*(580-(1383-C42))/280,IF((1383-C42)&lt;670,0.704+0.149*(670-(1383-C42))/90,IF((1383-C42)&lt;740,0.503+0.201*(740-(1383-C42))/70,IF((1383-C42)&lt;800,0.228+0.275*(800-(1383-C42))/60,0.228*(850-(1383-C42))/50)))))</f>
        <v>0.6638</v>
      </c>
    </row>
    <row r="43" customFormat="false" ht="15" hidden="false" customHeight="true" outlineLevel="0" collapsed="false">
      <c r="A43" s="22" t="s">
        <v>152</v>
      </c>
      <c r="B43" s="22" t="s">
        <v>153</v>
      </c>
      <c r="C43" s="23" t="n">
        <v>731</v>
      </c>
      <c r="D43" s="15" t="n">
        <v>79850</v>
      </c>
      <c r="E43" s="24" t="n">
        <f aca="false">D43/Assumptions!$B$16</f>
        <v>2.13414438882443</v>
      </c>
      <c r="F43" s="25" t="n">
        <f aca="false">C43-713</f>
        <v>18</v>
      </c>
      <c r="G43" s="26" t="n">
        <f aca="false">PERCENTRANK($D$2:$D$52,D43)</f>
        <v>0.32</v>
      </c>
      <c r="H43" s="26" t="n">
        <f aca="false">PERCENTRANK($C$2:$C$52,C43)</f>
        <v>0.86</v>
      </c>
      <c r="I43" s="25" t="n">
        <f aca="false">ROUND(50*(G43+H43),0)</f>
        <v>59</v>
      </c>
      <c r="J43" s="27" t="n">
        <f aca="false">IF((1383-C43)&lt;=300,1,IF((1383-C43)&lt;580,0.853+0.147*(580-(1383-C43))/280,IF((1383-C43)&lt;670,0.704+0.149*(670-(1383-C43))/90,IF((1383-C43)&lt;740,0.503+0.201*(740-(1383-C43))/70,IF((1383-C43)&lt;800,0.228+0.275*(800-(1383-C43))/60,0.228*(850-(1383-C43))/50)))))</f>
        <v>0.7338</v>
      </c>
    </row>
    <row r="44" customFormat="false" ht="15" hidden="false" customHeight="true" outlineLevel="0" collapsed="false">
      <c r="A44" s="22" t="s">
        <v>154</v>
      </c>
      <c r="B44" s="22" t="s">
        <v>155</v>
      </c>
      <c r="C44" s="23" t="n">
        <v>703</v>
      </c>
      <c r="D44" s="15" t="n">
        <v>75860</v>
      </c>
      <c r="E44" s="24" t="n">
        <f aca="false">D44/Assumptions!$B$16</f>
        <v>2.02750398667779</v>
      </c>
      <c r="F44" s="25" t="n">
        <f aca="false">C44-713</f>
        <v>-10</v>
      </c>
      <c r="G44" s="26" t="n">
        <f aca="false">PERCENTRANK($D$2:$D$52,D44)</f>
        <v>0.2</v>
      </c>
      <c r="H44" s="26" t="n">
        <f aca="false">PERCENTRANK($C$2:$C$52,C44)</f>
        <v>0.22</v>
      </c>
      <c r="I44" s="25" t="n">
        <f aca="false">ROUND(50*(G44+H44),0)</f>
        <v>21</v>
      </c>
      <c r="J44" s="27" t="n">
        <f aca="false">IF((1383-C44)&lt;=300,1,IF((1383-C44)&lt;580,0.853+0.147*(580-(1383-C44))/280,IF((1383-C44)&lt;670,0.704+0.149*(670-(1383-C44))/90,IF((1383-C44)&lt;740,0.503+0.201*(740-(1383-C44))/70,IF((1383-C44)&lt;800,0.228+0.275*(800-(1383-C44))/60,0.228*(850-(1383-C44))/50)))))</f>
        <v>0.675285714285714</v>
      </c>
    </row>
    <row r="45" customFormat="false" ht="15" hidden="false" customHeight="true" outlineLevel="0" collapsed="false">
      <c r="A45" s="22" t="s">
        <v>156</v>
      </c>
      <c r="B45" s="22" t="s">
        <v>157</v>
      </c>
      <c r="C45" s="23" t="n">
        <v>692</v>
      </c>
      <c r="D45" s="15" t="n">
        <v>81490</v>
      </c>
      <c r="E45" s="24" t="n">
        <f aca="false">D45/Assumptions!$B$16</f>
        <v>2.17797653406766</v>
      </c>
      <c r="F45" s="25" t="n">
        <f aca="false">C45-713</f>
        <v>-21</v>
      </c>
      <c r="G45" s="26" t="n">
        <f aca="false">PERCENTRANK($D$2:$D$52,D45)</f>
        <v>0.42</v>
      </c>
      <c r="H45" s="26" t="n">
        <f aca="false">PERCENTRANK($C$2:$C$52,C45)</f>
        <v>0.06</v>
      </c>
      <c r="I45" s="25" t="n">
        <f aca="false">ROUND(50*(G45+H45),0)</f>
        <v>24</v>
      </c>
      <c r="J45" s="27" t="n">
        <f aca="false">IF((1383-C45)&lt;=300,1,IF((1383-C45)&lt;580,0.853+0.147*(580-(1383-C45))/280,IF((1383-C45)&lt;670,0.704+0.149*(670-(1383-C45))/90,IF((1383-C45)&lt;740,0.503+0.201*(740-(1383-C45))/70,IF((1383-C45)&lt;800,0.228+0.275*(800-(1383-C45))/60,0.228*(850-(1383-C45))/50)))))</f>
        <v>0.6437</v>
      </c>
    </row>
    <row r="46" customFormat="false" ht="15" hidden="false" customHeight="true" outlineLevel="0" collapsed="false">
      <c r="A46" s="22" t="s">
        <v>158</v>
      </c>
      <c r="B46" s="22" t="s">
        <v>159</v>
      </c>
      <c r="C46" s="23" t="n">
        <v>728</v>
      </c>
      <c r="D46" s="15" t="n">
        <v>104000</v>
      </c>
      <c r="E46" s="24" t="n">
        <f aca="false">D46/Assumptions!$B$16</f>
        <v>2.77959945444885</v>
      </c>
      <c r="F46" s="25" t="n">
        <f aca="false">C46-713</f>
        <v>15</v>
      </c>
      <c r="G46" s="26" t="n">
        <f aca="false">PERCENTRANK($D$2:$D$52,D46)</f>
        <v>0.9</v>
      </c>
      <c r="H46" s="26" t="n">
        <f aca="false">PERCENTRANK($C$2:$C$52,C46)</f>
        <v>0.68</v>
      </c>
      <c r="I46" s="25" t="n">
        <f aca="false">ROUND(50*(G46+H46),0)</f>
        <v>79</v>
      </c>
      <c r="J46" s="27" t="n">
        <f aca="false">IF((1383-C46)&lt;=300,1,IF((1383-C46)&lt;580,0.853+0.147*(580-(1383-C46))/280,IF((1383-C46)&lt;670,0.704+0.149*(670-(1383-C46))/90,IF((1383-C46)&lt;740,0.503+0.201*(740-(1383-C46))/70,IF((1383-C46)&lt;800,0.228+0.275*(800-(1383-C46))/60,0.228*(850-(1383-C46))/50)))))</f>
        <v>0.728833333333333</v>
      </c>
    </row>
    <row r="47" customFormat="false" ht="15" hidden="false" customHeight="true" outlineLevel="0" collapsed="false">
      <c r="A47" s="22" t="s">
        <v>160</v>
      </c>
      <c r="B47" s="22" t="s">
        <v>161</v>
      </c>
      <c r="C47" s="23" t="n">
        <v>737</v>
      </c>
      <c r="D47" s="15" t="n">
        <v>85260</v>
      </c>
      <c r="E47" s="24" t="n">
        <f aca="false">D47/Assumptions!$B$16</f>
        <v>2.27873701429143</v>
      </c>
      <c r="F47" s="25" t="n">
        <f aca="false">C47-713</f>
        <v>24</v>
      </c>
      <c r="G47" s="26" t="n">
        <f aca="false">PERCENTRANK($D$2:$D$52,D47)</f>
        <v>0.54</v>
      </c>
      <c r="H47" s="26" t="n">
        <f aca="false">PERCENTRANK($C$2:$C$52,C47)</f>
        <v>0.96</v>
      </c>
      <c r="I47" s="25" t="n">
        <f aca="false">ROUND(50*(G47+H47),0)</f>
        <v>75</v>
      </c>
      <c r="J47" s="27" t="n">
        <f aca="false">IF((1383-C47)&lt;=300,1,IF((1383-C47)&lt;580,0.853+0.147*(580-(1383-C47))/280,IF((1383-C47)&lt;670,0.704+0.149*(670-(1383-C47))/90,IF((1383-C47)&lt;740,0.503+0.201*(740-(1383-C47))/70,IF((1383-C47)&lt;800,0.228+0.275*(800-(1383-C47))/60,0.228*(850-(1383-C47))/50)))))</f>
        <v>0.743733333333333</v>
      </c>
    </row>
    <row r="48" customFormat="false" ht="15" hidden="false" customHeight="true" outlineLevel="0" collapsed="false">
      <c r="A48" s="22" t="s">
        <v>162</v>
      </c>
      <c r="B48" s="22" t="s">
        <v>163</v>
      </c>
      <c r="C48" s="23" t="n">
        <v>721</v>
      </c>
      <c r="D48" s="15" t="n">
        <v>97720</v>
      </c>
      <c r="E48" s="24" t="n">
        <f aca="false">D48/Assumptions!$B$16</f>
        <v>2.61175441046867</v>
      </c>
      <c r="F48" s="25" t="n">
        <f aca="false">C48-713</f>
        <v>8</v>
      </c>
      <c r="G48" s="26" t="n">
        <f aca="false">PERCENTRANK($D$2:$D$52,D48)</f>
        <v>0.8</v>
      </c>
      <c r="H48" s="26" t="n">
        <f aca="false">PERCENTRANK($C$2:$C$52,C48)</f>
        <v>0.58</v>
      </c>
      <c r="I48" s="25" t="n">
        <f aca="false">ROUND(50*(G48+H48),0)</f>
        <v>69</v>
      </c>
      <c r="J48" s="27" t="n">
        <f aca="false">IF((1383-C48)&lt;=300,1,IF((1383-C48)&lt;580,0.853+0.147*(580-(1383-C48))/280,IF((1383-C48)&lt;670,0.704+0.149*(670-(1383-C48))/90,IF((1383-C48)&lt;740,0.503+0.201*(740-(1383-C48))/70,IF((1383-C48)&lt;800,0.228+0.275*(800-(1383-C48))/60,0.228*(850-(1383-C48))/50)))))</f>
        <v>0.717244444444444</v>
      </c>
    </row>
    <row r="49" customFormat="false" ht="15" hidden="false" customHeight="true" outlineLevel="0" collapsed="false">
      <c r="A49" s="22" t="s">
        <v>164</v>
      </c>
      <c r="B49" s="22" t="s">
        <v>165</v>
      </c>
      <c r="C49" s="23" t="n">
        <v>734</v>
      </c>
      <c r="D49" s="15" t="n">
        <v>97500</v>
      </c>
      <c r="E49" s="24" t="n">
        <f aca="false">D49/Assumptions!$B$16</f>
        <v>2.6058744885458</v>
      </c>
      <c r="F49" s="25" t="n">
        <f aca="false">C49-713</f>
        <v>21</v>
      </c>
      <c r="G49" s="26" t="n">
        <f aca="false">PERCENTRANK($D$2:$D$52,D49)</f>
        <v>0.78</v>
      </c>
      <c r="H49" s="26" t="n">
        <f aca="false">PERCENTRANK($C$2:$C$52,C49)</f>
        <v>0.92</v>
      </c>
      <c r="I49" s="25" t="n">
        <f aca="false">ROUND(50*(G49+H49),0)</f>
        <v>85</v>
      </c>
      <c r="J49" s="27" t="n">
        <f aca="false">IF((1383-C49)&lt;=300,1,IF((1383-C49)&lt;580,0.853+0.147*(580-(1383-C49))/280,IF((1383-C49)&lt;670,0.704+0.149*(670-(1383-C49))/90,IF((1383-C49)&lt;740,0.503+0.201*(740-(1383-C49))/70,IF((1383-C49)&lt;800,0.228+0.275*(800-(1383-C49))/60,0.228*(850-(1383-C49))/50)))))</f>
        <v>0.738766666666667</v>
      </c>
    </row>
    <row r="50" customFormat="false" ht="15" hidden="false" customHeight="true" outlineLevel="0" collapsed="false">
      <c r="A50" s="22" t="s">
        <v>166</v>
      </c>
      <c r="B50" s="22" t="s">
        <v>167</v>
      </c>
      <c r="C50" s="23" t="n">
        <v>699</v>
      </c>
      <c r="D50" s="15" t="n">
        <v>63150</v>
      </c>
      <c r="E50" s="24" t="n">
        <f aca="false">D50/Assumptions!$B$16</f>
        <v>1.68780486104274</v>
      </c>
      <c r="F50" s="25" t="n">
        <f aca="false">C50-713</f>
        <v>-14</v>
      </c>
      <c r="G50" s="26" t="n">
        <f aca="false">PERCENTRANK($D$2:$D$52,D50)</f>
        <v>0.04</v>
      </c>
      <c r="H50" s="26" t="n">
        <f aca="false">PERCENTRANK($C$2:$C$52,C50)</f>
        <v>0.14</v>
      </c>
      <c r="I50" s="25" t="n">
        <f aca="false">ROUND(50*(G50+H50),0)</f>
        <v>9</v>
      </c>
      <c r="J50" s="27" t="n">
        <f aca="false">IF((1383-C50)&lt;=300,1,IF((1383-C50)&lt;580,0.853+0.147*(580-(1383-C50))/280,IF((1383-C50)&lt;670,0.704+0.149*(670-(1383-C50))/90,IF((1383-C50)&lt;740,0.503+0.201*(740-(1383-C50))/70,IF((1383-C50)&lt;800,0.228+0.275*(800-(1383-C50))/60,0.228*(850-(1383-C50))/50)))))</f>
        <v>0.6638</v>
      </c>
    </row>
    <row r="51" customFormat="false" ht="15" hidden="false" customHeight="true" outlineLevel="0" collapsed="false">
      <c r="A51" s="22" t="s">
        <v>168</v>
      </c>
      <c r="B51" s="22" t="s">
        <v>169</v>
      </c>
      <c r="C51" s="23" t="n">
        <v>737</v>
      </c>
      <c r="D51" s="15" t="n">
        <v>82560</v>
      </c>
      <c r="E51" s="24" t="n">
        <f aca="false">D51/Assumptions!$B$16</f>
        <v>2.20657433614709</v>
      </c>
      <c r="F51" s="25" t="n">
        <f aca="false">C51-713</f>
        <v>24</v>
      </c>
      <c r="G51" s="26" t="n">
        <f aca="false">PERCENTRANK($D$2:$D$52,D51)</f>
        <v>0.48</v>
      </c>
      <c r="H51" s="26" t="n">
        <f aca="false">PERCENTRANK($C$2:$C$52,C51)</f>
        <v>0.96</v>
      </c>
      <c r="I51" s="25" t="n">
        <f aca="false">ROUND(50*(G51+H51),0)</f>
        <v>72</v>
      </c>
      <c r="J51" s="27" t="n">
        <f aca="false">IF((1383-C51)&lt;=300,1,IF((1383-C51)&lt;580,0.853+0.147*(580-(1383-C51))/280,IF((1383-C51)&lt;670,0.704+0.149*(670-(1383-C51))/90,IF((1383-C51)&lt;740,0.503+0.201*(740-(1383-C51))/70,IF((1383-C51)&lt;800,0.228+0.275*(800-(1383-C51))/60,0.228*(850-(1383-C51))/50)))))</f>
        <v>0.743733333333333</v>
      </c>
    </row>
    <row r="52" customFormat="false" ht="15" hidden="false" customHeight="true" outlineLevel="0" collapsed="false">
      <c r="A52" s="22" t="s">
        <v>170</v>
      </c>
      <c r="B52" s="22" t="s">
        <v>171</v>
      </c>
      <c r="C52" s="23" t="n">
        <v>722</v>
      </c>
      <c r="D52" s="15" t="n">
        <v>78680</v>
      </c>
      <c r="E52" s="24" t="n">
        <f aca="false">D52/Assumptions!$B$16</f>
        <v>2.10287389496188</v>
      </c>
      <c r="F52" s="25" t="n">
        <f aca="false">C52-713</f>
        <v>9</v>
      </c>
      <c r="G52" s="26" t="n">
        <f aca="false">PERCENTRANK($D$2:$D$52,D52)</f>
        <v>0.28</v>
      </c>
      <c r="H52" s="26" t="n">
        <f aca="false">PERCENTRANK($C$2:$C$52,C52)</f>
        <v>0.62</v>
      </c>
      <c r="I52" s="25" t="n">
        <f aca="false">ROUND(50*(G52+H52),0)</f>
        <v>45</v>
      </c>
      <c r="J52" s="27" t="n">
        <f aca="false">IF((1383-C52)&lt;=300,1,IF((1383-C52)&lt;580,0.853+0.147*(580-(1383-C52))/280,IF((1383-C52)&lt;670,0.704+0.149*(670-(1383-C52))/90,IF((1383-C52)&lt;740,0.503+0.201*(740-(1383-C52))/70,IF((1383-C52)&lt;800,0.228+0.275*(800-(1383-C52))/60,0.228*(850-(1383-C52))/50)))))</f>
        <v>0.7189</v>
      </c>
    </row>
    <row r="54" customFormat="false" ht="15" hidden="false" customHeight="true" outlineLevel="0" collapsed="false">
      <c r="A54" s="10" t="s">
        <v>172</v>
      </c>
    </row>
    <row r="55" customFormat="false" ht="210.4" hidden="false" customHeight="false" outlineLevel="0" collapsed="false">
      <c r="A55" s="28" t="s">
        <v>173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4" min="3" style="1" width="14"/>
    <col collapsed="false" customWidth="true" hidden="false" outlineLevel="0" max="5" min="5" style="1" width="60"/>
  </cols>
  <sheetData>
    <row r="1" customFormat="false" ht="17.25" hidden="false" customHeight="true" outlineLevel="0" collapsed="false">
      <c r="A1" s="6" t="s">
        <v>174</v>
      </c>
    </row>
    <row r="2" customFormat="false" ht="15" hidden="false" customHeight="true" outlineLevel="0" collapsed="false">
      <c r="A2" s="10" t="s">
        <v>175</v>
      </c>
    </row>
    <row r="4" customFormat="false" ht="15" hidden="false" customHeight="true" outlineLevel="0" collapsed="false">
      <c r="A4" s="7" t="s">
        <v>176</v>
      </c>
    </row>
    <row r="5" customFormat="false" ht="15" hidden="false" customHeight="true" outlineLevel="0" collapsed="false">
      <c r="A5" s="8" t="s">
        <v>177</v>
      </c>
      <c r="B5" s="29" t="s">
        <v>178</v>
      </c>
    </row>
    <row r="6" customFormat="false" ht="15" hidden="false" customHeight="true" outlineLevel="0" collapsed="false">
      <c r="A6" s="8" t="s">
        <v>179</v>
      </c>
      <c r="B6" s="30" t="n">
        <v>100000</v>
      </c>
      <c r="E6" s="10" t="s">
        <v>180</v>
      </c>
    </row>
    <row r="7" customFormat="false" ht="15" hidden="false" customHeight="true" outlineLevel="0" collapsed="false">
      <c r="A7" s="8" t="s">
        <v>181</v>
      </c>
      <c r="B7" s="16" t="n">
        <f aca="false">Assumptions!B29</f>
        <v>0.704</v>
      </c>
      <c r="E7" s="10" t="s">
        <v>182</v>
      </c>
    </row>
    <row r="8" customFormat="false" ht="15" hidden="false" customHeight="true" outlineLevel="0" collapsed="false">
      <c r="A8" s="8" t="s">
        <v>183</v>
      </c>
      <c r="B8" s="31" t="n">
        <v>0.01</v>
      </c>
      <c r="E8" s="10" t="s">
        <v>184</v>
      </c>
    </row>
    <row r="9" customFormat="false" ht="15" hidden="false" customHeight="true" outlineLevel="0" collapsed="false">
      <c r="A9" s="8" t="s">
        <v>185</v>
      </c>
      <c r="B9" s="30" t="n">
        <v>400</v>
      </c>
      <c r="E9" s="10" t="s">
        <v>186</v>
      </c>
    </row>
    <row r="11" customFormat="false" ht="15" hidden="false" customHeight="true" outlineLevel="0" collapsed="false">
      <c r="A11" s="7" t="s">
        <v>187</v>
      </c>
    </row>
    <row r="12" customFormat="false" ht="26.25" hidden="false" customHeight="true" outlineLevel="0" collapsed="false">
      <c r="A12" s="32" t="s">
        <v>188</v>
      </c>
      <c r="B12" s="32" t="s">
        <v>189</v>
      </c>
      <c r="C12" s="32" t="s">
        <v>190</v>
      </c>
      <c r="D12" s="32" t="s">
        <v>191</v>
      </c>
      <c r="E12" s="32" t="s">
        <v>192</v>
      </c>
    </row>
    <row r="13" customFormat="false" ht="15" hidden="false" customHeight="true" outlineLevel="0" collapsed="false">
      <c r="A13" s="8" t="s">
        <v>193</v>
      </c>
      <c r="B13" s="33" t="n">
        <v>2000</v>
      </c>
      <c r="C13" s="34" t="n">
        <v>0</v>
      </c>
      <c r="D13" s="34" t="n">
        <v>10000</v>
      </c>
      <c r="E13" s="35" t="n">
        <f aca="false">IF(Assumptions!$B$16&lt;=C13,B13,IF(Assumptions!$B$16&gt;=D13,0,(D13-Assumptions!$B$16)/(D13-C13)*B13))</f>
        <v>0</v>
      </c>
    </row>
    <row r="14" customFormat="false" ht="15" hidden="false" customHeight="true" outlineLevel="0" collapsed="false">
      <c r="A14" s="8" t="s">
        <v>194</v>
      </c>
      <c r="B14" s="33" t="n">
        <v>1500</v>
      </c>
      <c r="C14" s="34" t="n">
        <v>10000</v>
      </c>
      <c r="D14" s="34" t="n">
        <v>15000</v>
      </c>
      <c r="E14" s="35" t="n">
        <f aca="false">IF(Assumptions!$B$16&lt;=C14,B14,IF(Assumptions!$B$16&gt;=D14,0,(D14-Assumptions!$B$16)/(D14-C14)*B14))</f>
        <v>0</v>
      </c>
    </row>
    <row r="15" customFormat="false" ht="15" hidden="false" customHeight="true" outlineLevel="0" collapsed="false">
      <c r="A15" s="8" t="s">
        <v>195</v>
      </c>
      <c r="B15" s="33" t="n">
        <v>1800</v>
      </c>
      <c r="C15" s="34" t="n">
        <v>15000</v>
      </c>
      <c r="D15" s="34" t="n">
        <v>20000</v>
      </c>
      <c r="E15" s="35" t="n">
        <f aca="false">IF(Assumptions!$B$16&lt;=C15,B15,IF(Assumptions!$B$16&gt;=D15,0,(D15-Assumptions!$B$16)/(D15-C15)*B15))</f>
        <v>0</v>
      </c>
    </row>
    <row r="16" customFormat="false" ht="15" hidden="false" customHeight="true" outlineLevel="0" collapsed="false">
      <c r="A16" s="8" t="s">
        <v>196</v>
      </c>
      <c r="B16" s="33" t="n">
        <v>2000</v>
      </c>
      <c r="C16" s="34" t="n">
        <v>20000</v>
      </c>
      <c r="D16" s="34" t="n">
        <v>25000</v>
      </c>
      <c r="E16" s="35" t="n">
        <f aca="false">IF(Assumptions!$B$16&lt;=C16,B16,IF(Assumptions!$B$16&gt;=D16,0,(D16-Assumptions!$B$16)/(D16-C16)*B16))</f>
        <v>0</v>
      </c>
    </row>
    <row r="17" customFormat="false" ht="15" hidden="false" customHeight="true" outlineLevel="0" collapsed="false">
      <c r="A17" s="8" t="s">
        <v>197</v>
      </c>
      <c r="B17" s="33" t="n">
        <v>2200</v>
      </c>
      <c r="C17" s="34" t="n">
        <v>25000</v>
      </c>
      <c r="D17" s="34" t="n">
        <v>30000</v>
      </c>
      <c r="E17" s="35" t="n">
        <f aca="false">IF(Assumptions!$B$16&lt;=C17,B17,IF(Assumptions!$B$16&gt;=D17,0,(D17-Assumptions!$B$16)/(D17-C17)*B17))</f>
        <v>0</v>
      </c>
    </row>
    <row r="18" customFormat="false" ht="15" hidden="false" customHeight="true" outlineLevel="0" collapsed="false">
      <c r="A18" s="8" t="s">
        <v>198</v>
      </c>
      <c r="B18" s="33" t="n">
        <v>2400</v>
      </c>
      <c r="C18" s="34" t="n">
        <v>30000</v>
      </c>
      <c r="D18" s="34" t="n">
        <v>35000</v>
      </c>
      <c r="E18" s="35" t="n">
        <f aca="false">IF(Assumptions!$B$16&lt;=C18,B18,IF(Assumptions!$B$16&gt;=D18,0,(D18-Assumptions!$B$16)/(D18-C18)*B18))</f>
        <v>0</v>
      </c>
    </row>
    <row r="19" customFormat="false" ht="15" hidden="false" customHeight="true" outlineLevel="0" collapsed="false">
      <c r="A19" s="8" t="s">
        <v>199</v>
      </c>
      <c r="B19" s="33" t="n">
        <v>2500</v>
      </c>
      <c r="C19" s="34" t="n">
        <v>35000</v>
      </c>
      <c r="D19" s="34" t="n">
        <v>40000</v>
      </c>
      <c r="E19" s="35" t="n">
        <f aca="false">IF(Assumptions!$B$16&lt;=C19,B19,IF(Assumptions!$B$16&gt;=D19,0,(D19-Assumptions!$B$16)/(D19-C19)*B19))</f>
        <v>1292.2685976312</v>
      </c>
    </row>
    <row r="20" customFormat="false" ht="15" hidden="false" customHeight="true" outlineLevel="0" collapsed="false">
      <c r="A20" s="8" t="s">
        <v>200</v>
      </c>
      <c r="B20" s="33" t="n">
        <v>2600</v>
      </c>
      <c r="C20" s="34" t="n">
        <v>40000</v>
      </c>
      <c r="D20" s="34" t="n">
        <v>45000</v>
      </c>
      <c r="E20" s="35" t="n">
        <f aca="false">IF(Assumptions!$B$16&lt;=C20,B20,IF(Assumptions!$B$16&gt;=D20,0,(D20-Assumptions!$B$16)/(D20-C20)*B20))</f>
        <v>2600</v>
      </c>
    </row>
    <row r="21" customFormat="false" ht="15" hidden="false" customHeight="true" outlineLevel="0" collapsed="false">
      <c r="A21" s="8" t="s">
        <v>201</v>
      </c>
      <c r="B21" s="33" t="n">
        <v>2700</v>
      </c>
      <c r="C21" s="34" t="n">
        <v>45000</v>
      </c>
      <c r="D21" s="34" t="n">
        <v>50000</v>
      </c>
      <c r="E21" s="35" t="n">
        <f aca="false">IF(Assumptions!$B$16&lt;=C21,B21,IF(Assumptions!$B$16&gt;=D21,0,(D21-Assumptions!$B$16)/(D21-C21)*B21))</f>
        <v>2700</v>
      </c>
    </row>
    <row r="22" customFormat="false" ht="15" hidden="false" customHeight="true" outlineLevel="0" collapsed="false">
      <c r="A22" s="8" t="s">
        <v>202</v>
      </c>
      <c r="B22" s="33" t="n">
        <v>5600</v>
      </c>
      <c r="C22" s="34" t="n">
        <v>50000</v>
      </c>
      <c r="D22" s="34" t="n">
        <v>60000</v>
      </c>
      <c r="E22" s="35" t="n">
        <f aca="false">IF(Assumptions!$B$16&lt;=C22,B22,IF(Assumptions!$B$16&gt;=D22,0,(D22-Assumptions!$B$16)/(D22-C22)*B22))</f>
        <v>5600</v>
      </c>
    </row>
    <row r="23" customFormat="false" ht="15" hidden="false" customHeight="true" outlineLevel="0" collapsed="false">
      <c r="A23" s="8" t="s">
        <v>203</v>
      </c>
      <c r="B23" s="33" t="n">
        <v>8200</v>
      </c>
      <c r="C23" s="34" t="n">
        <v>60000</v>
      </c>
      <c r="D23" s="34" t="n">
        <v>75000</v>
      </c>
      <c r="E23" s="35" t="n">
        <f aca="false">IF(Assumptions!$B$16&lt;=C23,B23,IF(Assumptions!$B$16&gt;=D23,0,(D23-Assumptions!$B$16)/(D23-C23)*B23))</f>
        <v>8200</v>
      </c>
    </row>
    <row r="24" customFormat="false" ht="15" hidden="false" customHeight="true" outlineLevel="0" collapsed="false">
      <c r="A24" s="8" t="s">
        <v>204</v>
      </c>
      <c r="B24" s="33" t="n">
        <v>14500</v>
      </c>
      <c r="C24" s="34" t="n">
        <v>75000</v>
      </c>
      <c r="D24" s="34" t="n">
        <v>100000</v>
      </c>
      <c r="E24" s="35" t="n">
        <f aca="false">IF(Assumptions!$B$16&lt;=C24,B24,IF(Assumptions!$B$16&gt;=D24,0,(D24-Assumptions!$B$16)/(D24-C24)*B24))</f>
        <v>14500</v>
      </c>
    </row>
    <row r="25" customFormat="false" ht="15" hidden="false" customHeight="true" outlineLevel="0" collapsed="false">
      <c r="A25" s="8" t="s">
        <v>205</v>
      </c>
      <c r="B25" s="33" t="n">
        <v>13500</v>
      </c>
      <c r="C25" s="34" t="n">
        <v>100000</v>
      </c>
      <c r="D25" s="34" t="n">
        <v>125000</v>
      </c>
      <c r="E25" s="35" t="n">
        <f aca="false">IF(Assumptions!$B$16&lt;=C25,B25,IF(Assumptions!$B$16&gt;=D25,0,(D25-Assumptions!$B$16)/(D25-C25)*B25))</f>
        <v>13500</v>
      </c>
    </row>
    <row r="26" customFormat="false" ht="15" hidden="false" customHeight="true" outlineLevel="0" collapsed="false">
      <c r="A26" s="8" t="s">
        <v>206</v>
      </c>
      <c r="B26" s="33" t="n">
        <v>11000</v>
      </c>
      <c r="C26" s="34" t="n">
        <v>125000</v>
      </c>
      <c r="D26" s="34" t="n">
        <v>150000</v>
      </c>
      <c r="E26" s="35" t="n">
        <f aca="false">IF(Assumptions!$B$16&lt;=C26,B26,IF(Assumptions!$B$16&gt;=D26,0,(D26-Assumptions!$B$16)/(D26-C26)*B26))</f>
        <v>11000</v>
      </c>
    </row>
    <row r="27" customFormat="false" ht="15" hidden="false" customHeight="true" outlineLevel="0" collapsed="false">
      <c r="A27" s="8" t="s">
        <v>207</v>
      </c>
      <c r="B27" s="33" t="n">
        <v>14500</v>
      </c>
      <c r="C27" s="34" t="n">
        <v>150000</v>
      </c>
      <c r="D27" s="34" t="n">
        <v>200000</v>
      </c>
      <c r="E27" s="35" t="n">
        <f aca="false">IF(Assumptions!$B$16&lt;=C27,B27,IF(Assumptions!$B$16&gt;=D27,0,(D27-Assumptions!$B$16)/(D27-C27)*B27))</f>
        <v>14500</v>
      </c>
    </row>
    <row r="28" customFormat="false" ht="15" hidden="false" customHeight="true" outlineLevel="0" collapsed="false">
      <c r="A28" s="8" t="s">
        <v>208</v>
      </c>
      <c r="B28" s="33" t="n">
        <v>13000</v>
      </c>
      <c r="C28" s="34" t="n">
        <v>200000</v>
      </c>
      <c r="D28" s="34" t="n">
        <v>10000000</v>
      </c>
      <c r="E28" s="35" t="n">
        <f aca="false">IF(Assumptions!$B$16&lt;=C28,B28,IF(Assumptions!$B$16&gt;=D28,0,(D28-Assumptions!$B$16)/(D28-C28)*B28))</f>
        <v>13000</v>
      </c>
    </row>
    <row r="30" customFormat="false" ht="15" hidden="false" customHeight="true" outlineLevel="0" collapsed="false">
      <c r="A30" s="7" t="s">
        <v>209</v>
      </c>
    </row>
    <row r="31" customFormat="false" ht="15" hidden="false" customHeight="true" outlineLevel="0" collapsed="false">
      <c r="A31" s="8" t="s">
        <v>210</v>
      </c>
      <c r="B31" s="15" t="n">
        <f aca="false">Assumptions!B16</f>
        <v>37415.4628047376</v>
      </c>
    </row>
    <row r="32" customFormat="false" ht="15" hidden="false" customHeight="true" outlineLevel="0" collapsed="false">
      <c r="A32" s="8" t="s">
        <v>211</v>
      </c>
      <c r="B32" s="35" t="n">
        <f aca="false">SUM(B13:B28)</f>
        <v>100000</v>
      </c>
      <c r="E32" s="10" t="s">
        <v>212</v>
      </c>
    </row>
    <row r="33" customFormat="false" ht="15" hidden="false" customHeight="true" outlineLevel="0" collapsed="false">
      <c r="A33" s="8" t="s">
        <v>213</v>
      </c>
      <c r="B33" s="35" t="n">
        <f aca="false">SUM(E13:E28)</f>
        <v>86892.2685976312</v>
      </c>
      <c r="E33" s="10" t="s">
        <v>214</v>
      </c>
    </row>
    <row r="34" customFormat="false" ht="15" hidden="false" customHeight="true" outlineLevel="0" collapsed="false">
      <c r="A34" s="8" t="s">
        <v>215</v>
      </c>
      <c r="B34" s="16" t="n">
        <f aca="false">B33/B32</f>
        <v>0.868922685976312</v>
      </c>
    </row>
    <row r="35" customFormat="false" ht="15" hidden="false" customHeight="true" outlineLevel="0" collapsed="false">
      <c r="A35" s="8" t="s">
        <v>216</v>
      </c>
      <c r="B35" s="35" t="n">
        <f aca="false">B33*B7</f>
        <v>61172.1570927324</v>
      </c>
    </row>
    <row r="36" customFormat="false" ht="15" hidden="false" customHeight="true" outlineLevel="0" collapsed="false">
      <c r="A36" s="8" t="s">
        <v>217</v>
      </c>
      <c r="B36" s="35" t="n">
        <f aca="false">B35*B8</f>
        <v>611.721570927324</v>
      </c>
    </row>
    <row r="37" customFormat="false" ht="15" hidden="false" customHeight="true" outlineLevel="0" collapsed="false">
      <c r="A37" s="8" t="s">
        <v>218</v>
      </c>
      <c r="B37" s="36" t="n">
        <f aca="false">B36/B9</f>
        <v>1.52930392731831</v>
      </c>
      <c r="E37" s="10" t="s">
        <v>219</v>
      </c>
    </row>
    <row r="39" customFormat="false" ht="15" hidden="false" customHeight="true" outlineLevel="0" collapsed="false">
      <c r="A39" s="10" t="s">
        <v>220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13"/>
    <col collapsed="false" customWidth="true" hidden="false" outlineLevel="0" max="3" min="3" style="0" width="10"/>
    <col collapsed="false" customWidth="true" hidden="false" outlineLevel="0" max="4" min="4" style="0" width="12"/>
    <col collapsed="false" customWidth="true" hidden="false" outlineLevel="0" max="5" min="5" style="0" width="13"/>
    <col collapsed="false" customWidth="true" hidden="false" outlineLevel="0" max="7" min="6" style="0" width="16"/>
    <col collapsed="false" customWidth="true" hidden="false" outlineLevel="0" max="8" min="8" style="0" width="52"/>
  </cols>
  <sheetData>
    <row r="1" customFormat="false" ht="17.35" hidden="false" customHeight="false" outlineLevel="0" collapsed="false">
      <c r="A1" s="37" t="s">
        <v>221</v>
      </c>
    </row>
    <row r="2" customFormat="false" ht="15" hidden="false" customHeight="false" outlineLevel="0" collapsed="false">
      <c r="A2" s="20" t="s">
        <v>222</v>
      </c>
    </row>
    <row r="4" customFormat="false" ht="26.85" hidden="false" customHeight="false" outlineLevel="0" collapsed="false">
      <c r="A4" s="21" t="s">
        <v>223</v>
      </c>
      <c r="B4" s="21" t="s">
        <v>224</v>
      </c>
      <c r="C4" s="21" t="s">
        <v>225</v>
      </c>
      <c r="D4" s="21" t="s">
        <v>226</v>
      </c>
      <c r="E4" s="21" t="s">
        <v>227</v>
      </c>
      <c r="F4" s="21" t="s">
        <v>228</v>
      </c>
      <c r="G4" s="21" t="s">
        <v>229</v>
      </c>
      <c r="H4" s="21" t="s">
        <v>230</v>
      </c>
    </row>
    <row r="5" customFormat="false" ht="22.35" hidden="false" customHeight="false" outlineLevel="0" collapsed="false">
      <c r="A5" s="38" t="s">
        <v>231</v>
      </c>
      <c r="B5" s="39" t="n">
        <v>8500</v>
      </c>
      <c r="C5" s="40" t="n">
        <v>0.2499</v>
      </c>
      <c r="D5" s="41" t="n">
        <v>60</v>
      </c>
      <c r="E5" s="42" t="n">
        <f aca="false">IF(C5=0,B5/D5,B5*(C5/12)/(1-(1+C5/12)^-D5))</f>
        <v>249.436418698251</v>
      </c>
      <c r="F5" s="19" t="n">
        <f aca="false">E5*12/0.08</f>
        <v>37415.4628047376</v>
      </c>
      <c r="G5" s="19" t="n">
        <f aca="false">E5*12/0.05</f>
        <v>59864.7404875802</v>
      </c>
      <c r="H5" s="43" t="s">
        <v>232</v>
      </c>
    </row>
    <row r="6" customFormat="false" ht="32.8" hidden="false" customHeight="false" outlineLevel="0" collapsed="false">
      <c r="A6" s="38" t="s">
        <v>233</v>
      </c>
      <c r="B6" s="39" t="n">
        <v>8500</v>
      </c>
      <c r="C6" s="40" t="n">
        <v>0</v>
      </c>
      <c r="D6" s="41" t="n">
        <v>36</v>
      </c>
      <c r="E6" s="42" t="n">
        <f aca="false">IF(C6=0,B6/D6,B6*(C6/12)/(1-(1+C6/12)^-D6))</f>
        <v>236.111111111111</v>
      </c>
      <c r="F6" s="19" t="n">
        <f aca="false">E6*12/0.08</f>
        <v>35416.6666666667</v>
      </c>
      <c r="G6" s="19" t="n">
        <f aca="false">E6*12/0.05</f>
        <v>56666.6666666667</v>
      </c>
      <c r="H6" s="43" t="s">
        <v>234</v>
      </c>
    </row>
    <row r="7" customFormat="false" ht="15" hidden="false" customHeight="false" outlineLevel="0" collapsed="false">
      <c r="A7" s="38" t="s">
        <v>235</v>
      </c>
      <c r="B7" s="39" t="n">
        <v>8500</v>
      </c>
      <c r="C7" s="40" t="n">
        <v>0</v>
      </c>
      <c r="D7" s="41" t="n">
        <v>24</v>
      </c>
      <c r="E7" s="42" t="n">
        <f aca="false">IF(C7=0,B7/D7,B7*(C7/12)/(1-(1+C7/12)^-D7))</f>
        <v>354.166666666667</v>
      </c>
      <c r="F7" s="19" t="n">
        <f aca="false">E7*12/0.08</f>
        <v>53125</v>
      </c>
      <c r="G7" s="19" t="n">
        <f aca="false">E7*12/0.05</f>
        <v>85000</v>
      </c>
      <c r="H7" s="43" t="s">
        <v>236</v>
      </c>
    </row>
    <row r="8" customFormat="false" ht="22.35" hidden="false" customHeight="false" outlineLevel="0" collapsed="false">
      <c r="A8" s="38" t="s">
        <v>237</v>
      </c>
      <c r="B8" s="39" t="n">
        <v>7500</v>
      </c>
      <c r="C8" s="40" t="n">
        <v>0</v>
      </c>
      <c r="D8" s="41" t="n">
        <v>12</v>
      </c>
      <c r="E8" s="42" t="n">
        <f aca="false">IF(C8=0,B8/D8,B8*(C8/12)/(1-(1+C8/12)^-D8))</f>
        <v>625</v>
      </c>
      <c r="F8" s="19" t="n">
        <f aca="false">E8*12/0.08</f>
        <v>93750</v>
      </c>
      <c r="G8" s="19" t="n">
        <f aca="false">E8*12/0.05</f>
        <v>150000</v>
      </c>
      <c r="H8" s="43" t="s">
        <v>238</v>
      </c>
    </row>
    <row r="9" customFormat="false" ht="22.35" hidden="false" customHeight="false" outlineLevel="0" collapsed="false">
      <c r="A9" s="38" t="s">
        <v>239</v>
      </c>
      <c r="B9" s="39" t="n">
        <v>8500</v>
      </c>
      <c r="C9" s="40" t="n">
        <v>0.267</v>
      </c>
      <c r="D9" s="41" t="n">
        <v>48</v>
      </c>
      <c r="E9" s="42" t="n">
        <f aca="false">IF(C9=0,B9/D9,B9*(C9/12)/(1-(1+C9/12)^-D9))</f>
        <v>289.954683951081</v>
      </c>
      <c r="F9" s="19" t="n">
        <f aca="false">E9*12/0.08</f>
        <v>43493.2025926621</v>
      </c>
      <c r="G9" s="19" t="n">
        <f aca="false">E9*12/0.05</f>
        <v>69589.1241482594</v>
      </c>
      <c r="H9" s="43" t="s">
        <v>240</v>
      </c>
    </row>
    <row r="10" customFormat="false" ht="22.35" hidden="false" customHeight="false" outlineLevel="0" collapsed="false">
      <c r="A10" s="38" t="s">
        <v>241</v>
      </c>
      <c r="B10" s="39" t="n">
        <v>8500</v>
      </c>
      <c r="C10" s="40" t="n">
        <v>1.2</v>
      </c>
      <c r="D10" s="41" t="n">
        <v>24</v>
      </c>
      <c r="E10" s="42" t="n">
        <f aca="false">IF(C10=0,B10/D10,B10*(C10/12)/(1-(1+C10/12)^-D10))</f>
        <v>946.048098980846</v>
      </c>
      <c r="F10" s="19" t="n">
        <f aca="false">E10*12/0.08</f>
        <v>141907.214847127</v>
      </c>
      <c r="G10" s="19" t="n">
        <f aca="false">E10*12/0.05</f>
        <v>227051.543755403</v>
      </c>
      <c r="H10" s="43" t="s">
        <v>242</v>
      </c>
    </row>
    <row r="11" customFormat="false" ht="22.35" hidden="false" customHeight="false" outlineLevel="0" collapsed="false">
      <c r="A11" s="38" t="s">
        <v>243</v>
      </c>
      <c r="B11" s="39" t="n">
        <v>8500</v>
      </c>
      <c r="C11" s="40" t="n">
        <v>1.2</v>
      </c>
      <c r="D11" s="41" t="n">
        <v>12</v>
      </c>
      <c r="E11" s="42" t="n">
        <f aca="false">IF(C11=0,B11/D11,B11*(C11/12)/(1-(1+C11/12)^-D11))</f>
        <v>1247.48817835244</v>
      </c>
      <c r="F11" s="19" t="n">
        <f aca="false">E11*12/0.08</f>
        <v>187123.226752866</v>
      </c>
      <c r="G11" s="19" t="n">
        <f aca="false">E11*12/0.05</f>
        <v>299397.162804586</v>
      </c>
      <c r="H11" s="43" t="s">
        <v>244</v>
      </c>
    </row>
    <row r="13" customFormat="false" ht="15" hidden="false" customHeight="true" outlineLevel="0" collapsed="false">
      <c r="A13" s="44" t="s">
        <v>245</v>
      </c>
      <c r="B13" s="44"/>
      <c r="C13" s="44"/>
      <c r="D13" s="44"/>
      <c r="E13" s="44"/>
      <c r="F13" s="44"/>
      <c r="G13" s="44"/>
      <c r="H13" s="44"/>
    </row>
    <row r="14" customFormat="false" ht="15" hidden="false" customHeight="false" outlineLevel="0" collapsed="false">
      <c r="A14" s="44"/>
      <c r="B14" s="44"/>
      <c r="C14" s="44"/>
      <c r="D14" s="44"/>
      <c r="E14" s="44"/>
      <c r="F14" s="44"/>
      <c r="G14" s="44"/>
      <c r="H14" s="44"/>
    </row>
    <row r="15" customFormat="false" ht="15" hidden="false" customHeight="false" outlineLevel="0" collapsed="false">
      <c r="A15" s="44"/>
      <c r="B15" s="44"/>
      <c r="C15" s="44"/>
      <c r="D15" s="44"/>
      <c r="E15" s="44"/>
      <c r="F15" s="44"/>
      <c r="G15" s="44"/>
      <c r="H15" s="44"/>
    </row>
  </sheetData>
  <mergeCells count="1">
    <mergeCell ref="A13:H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2026-07-02T22:51:11Z</dcterms:created>
  <dc:creator>openpyxl</dc:creator>
  <dc:description/>
  <dc:language>en-US</dc:language>
  <cp:lastModifiedBy/>
  <dcterms:modified xsi:type="dcterms:W3CDTF">2026-07-03T01:07:30Z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